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0834a95ac1c6c44/Desktop/DSDA/DSDA Projects/Fraud_detection(Excel)/"/>
    </mc:Choice>
  </mc:AlternateContent>
  <xr:revisionPtr revIDLastSave="0" documentId="13_ncr:1_{25B407ED-AA02-4D9B-A7D0-8BB88950F1C1}" xr6:coauthVersionLast="47" xr6:coauthVersionMax="47" xr10:uidLastSave="{00000000-0000-0000-0000-000000000000}"/>
  <bookViews>
    <workbookView xWindow="-108" yWindow="-108" windowWidth="23256" windowHeight="13896" xr2:uid="{00000000-000D-0000-FFFF-FFFF00000000}"/>
  </bookViews>
  <sheets>
    <sheet name="Dashboard" sheetId="8" r:id="rId1"/>
    <sheet name="Transactions" sheetId="2" r:id="rId2"/>
    <sheet name="Analysis - Location &amp; Time" sheetId="3" r:id="rId3"/>
    <sheet name="Monthly Summary" sheetId="5" r:id="rId4"/>
    <sheet name="Chartdata" sheetId="1" r:id="rId5"/>
    <sheet name="Instructions" sheetId="7" r:id="rId6"/>
  </sheets>
  <definedNames>
    <definedName name="_xlchart.v1.0" hidden="1">Transactions!$B$1</definedName>
    <definedName name="_xlchart.v1.1" hidden="1">Transactions!$B$2:$B$151</definedName>
    <definedName name="_xlchart.v1.10" hidden="1">Transactions!$G$2:$G$151</definedName>
    <definedName name="_xlchart.v1.11" hidden="1">Transactions!$H$1</definedName>
    <definedName name="_xlchart.v1.12" hidden="1">Transactions!$H$2:$H$151</definedName>
    <definedName name="_xlchart.v1.13" hidden="1">Transactions!$I$1</definedName>
    <definedName name="_xlchart.v1.14" hidden="1">Transactions!$I$2:$I$151</definedName>
    <definedName name="_xlchart.v1.15" hidden="1">Transactions!$J$1</definedName>
    <definedName name="_xlchart.v1.16" hidden="1">Transactions!$J$2:$J$151</definedName>
    <definedName name="_xlchart.v1.17" hidden="1">Transactions!$K$1</definedName>
    <definedName name="_xlchart.v1.18" hidden="1">Transactions!$K$2:$K$151</definedName>
    <definedName name="_xlchart.v1.19" hidden="1">Transactions!$L$1</definedName>
    <definedName name="_xlchart.v1.2" hidden="1">Transactions!$C$1</definedName>
    <definedName name="_xlchart.v1.20" hidden="1">Transactions!$L$2:$L$151</definedName>
    <definedName name="_xlchart.v1.21" hidden="1">Transactions!$M$1</definedName>
    <definedName name="_xlchart.v1.22" hidden="1">Transactions!$M$2:$M$151</definedName>
    <definedName name="_xlchart.v1.23" hidden="1">Transactions!$W$1</definedName>
    <definedName name="_xlchart.v1.24" hidden="1">Transactions!$W$2:$W$151</definedName>
    <definedName name="_xlchart.v1.3" hidden="1">Transactions!$C$2:$C$151</definedName>
    <definedName name="_xlchart.v1.4" hidden="1">Transactions!$D$1</definedName>
    <definedName name="_xlchart.v1.5" hidden="1">Transactions!$D$113:$D$151</definedName>
    <definedName name="_xlchart.v1.6" hidden="1">Transactions!$D$2:$D$151</definedName>
    <definedName name="_xlchart.v1.7" hidden="1">Transactions!$F$1</definedName>
    <definedName name="_xlchart.v1.8" hidden="1">Transactions!$F$2:$F$151</definedName>
    <definedName name="_xlchart.v1.9" hidden="1">Transactions!$G$1</definedName>
    <definedName name="_xlnm.Print_Area" localSheetId="1">Table1[#All]</definedName>
    <definedName name="Slicer_Country">#N/A</definedName>
    <definedName name="Slicer_Customer_Age2">#N/A</definedName>
    <definedName name="Slicer_Risk_Lev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8" i="2" l="1"/>
  <c r="O3" i="2"/>
  <c r="E2" i="2" a="1"/>
  <c r="E2" i="2" s="1"/>
  <c r="E3" i="2" a="1"/>
  <c r="E3" i="2"/>
  <c r="E4" i="2" a="1"/>
  <c r="E4" i="2"/>
  <c r="E5" i="2" a="1"/>
  <c r="E5" i="2"/>
  <c r="E6" i="2" a="1"/>
  <c r="E6" i="2"/>
  <c r="E7" i="2" a="1"/>
  <c r="E7" i="2"/>
  <c r="E8" i="2" a="1"/>
  <c r="E8" i="2"/>
  <c r="E9" i="2" a="1"/>
  <c r="E9" i="2"/>
  <c r="E10" i="2" a="1"/>
  <c r="E10" i="2" s="1"/>
  <c r="E11" i="2" a="1"/>
  <c r="E11" i="2"/>
  <c r="E12" i="2" a="1"/>
  <c r="E12" i="2"/>
  <c r="E13" i="2" a="1"/>
  <c r="E13" i="2"/>
  <c r="E14" i="2" a="1"/>
  <c r="E14" i="2"/>
  <c r="E15" i="2" a="1"/>
  <c r="E15" i="2"/>
  <c r="E16" i="2" a="1"/>
  <c r="E16" i="2"/>
  <c r="E17" i="2" a="1"/>
  <c r="E17" i="2"/>
  <c r="E18" i="2" a="1"/>
  <c r="E18" i="2" s="1"/>
  <c r="E19" i="2" a="1"/>
  <c r="E19" i="2"/>
  <c r="E20" i="2" a="1"/>
  <c r="E20" i="2"/>
  <c r="E21" i="2" a="1"/>
  <c r="E21" i="2"/>
  <c r="E22" i="2" a="1"/>
  <c r="E22" i="2"/>
  <c r="E23" i="2" a="1"/>
  <c r="E23" i="2"/>
  <c r="E24" i="2" a="1"/>
  <c r="E24" i="2"/>
  <c r="E25" i="2" a="1"/>
  <c r="E25" i="2"/>
  <c r="E26" i="2" a="1"/>
  <c r="E26" i="2" s="1"/>
  <c r="E27" i="2" a="1"/>
  <c r="E27" i="2"/>
  <c r="E28" i="2" a="1"/>
  <c r="E28" i="2"/>
  <c r="E29" i="2" a="1"/>
  <c r="E29" i="2"/>
  <c r="E30" i="2" a="1"/>
  <c r="E30" i="2"/>
  <c r="E31" i="2" a="1"/>
  <c r="E31" i="2"/>
  <c r="E32" i="2" a="1"/>
  <c r="E32" i="2"/>
  <c r="E33" i="2" a="1"/>
  <c r="E33" i="2"/>
  <c r="E34" i="2" a="1"/>
  <c r="E34" i="2" s="1"/>
  <c r="E35" i="2" a="1"/>
  <c r="E35" i="2"/>
  <c r="E36" i="2" a="1"/>
  <c r="E36" i="2"/>
  <c r="E37" i="2" a="1"/>
  <c r="E37" i="2"/>
  <c r="E38" i="2" a="1"/>
  <c r="E38" i="2"/>
  <c r="E39" i="2" a="1"/>
  <c r="E39" i="2"/>
  <c r="E40" i="2" a="1"/>
  <c r="E40" i="2"/>
  <c r="E41" i="2" a="1"/>
  <c r="E41" i="2"/>
  <c r="E42" i="2" a="1"/>
  <c r="E42" i="2" s="1"/>
  <c r="E43" i="2" a="1"/>
  <c r="E43" i="2"/>
  <c r="E44" i="2" a="1"/>
  <c r="E44" i="2"/>
  <c r="E45" i="2" a="1"/>
  <c r="E45" i="2"/>
  <c r="E46" i="2" a="1"/>
  <c r="E46" i="2"/>
  <c r="E47" i="2" a="1"/>
  <c r="E47" i="2"/>
  <c r="E48" i="2" a="1"/>
  <c r="E48" i="2"/>
  <c r="E49" i="2" a="1"/>
  <c r="E49" i="2"/>
  <c r="E50" i="2" a="1"/>
  <c r="E50" i="2" s="1"/>
  <c r="E51" i="2" a="1"/>
  <c r="E51" i="2"/>
  <c r="E52" i="2" a="1"/>
  <c r="E52" i="2"/>
  <c r="E53" i="2" a="1"/>
  <c r="E53" i="2"/>
  <c r="E54" i="2" a="1"/>
  <c r="E54" i="2"/>
  <c r="E55" i="2" a="1"/>
  <c r="E55" i="2"/>
  <c r="E56" i="2" a="1"/>
  <c r="E56" i="2"/>
  <c r="E57" i="2" a="1"/>
  <c r="E57" i="2"/>
  <c r="E58" i="2" a="1"/>
  <c r="E58" i="2" s="1"/>
  <c r="E59" i="2" a="1"/>
  <c r="E59" i="2"/>
  <c r="E60" i="2" a="1"/>
  <c r="E60" i="2"/>
  <c r="E61" i="2" a="1"/>
  <c r="E61" i="2"/>
  <c r="E62" i="2" a="1"/>
  <c r="E62" i="2"/>
  <c r="E63" i="2" a="1"/>
  <c r="E63" i="2"/>
  <c r="E64" i="2" a="1"/>
  <c r="E64" i="2"/>
  <c r="E65" i="2" a="1"/>
  <c r="E65" i="2"/>
  <c r="E66" i="2" a="1"/>
  <c r="E66" i="2" s="1"/>
  <c r="E67" i="2" a="1"/>
  <c r="E67" i="2"/>
  <c r="E68" i="2" a="1"/>
  <c r="E68" i="2"/>
  <c r="E69" i="2" a="1"/>
  <c r="E69" i="2"/>
  <c r="E70" i="2" a="1"/>
  <c r="E70" i="2"/>
  <c r="E71" i="2" a="1"/>
  <c r="E71" i="2"/>
  <c r="E72" i="2" a="1"/>
  <c r="E72" i="2"/>
  <c r="E73" i="2" a="1"/>
  <c r="E73" i="2"/>
  <c r="E74" i="2" a="1"/>
  <c r="E74" i="2" s="1"/>
  <c r="E75" i="2" a="1"/>
  <c r="E75" i="2"/>
  <c r="E76" i="2" a="1"/>
  <c r="E76" i="2"/>
  <c r="E77" i="2" a="1"/>
  <c r="E77" i="2"/>
  <c r="E78" i="2" a="1"/>
  <c r="E78" i="2"/>
  <c r="E79" i="2" a="1"/>
  <c r="E79" i="2"/>
  <c r="E80" i="2" a="1"/>
  <c r="E80" i="2"/>
  <c r="E81" i="2" a="1"/>
  <c r="E81" i="2"/>
  <c r="E82" i="2" a="1"/>
  <c r="E82" i="2" s="1"/>
  <c r="E83" i="2" a="1"/>
  <c r="E83" i="2"/>
  <c r="E84" i="2" a="1"/>
  <c r="E84" i="2"/>
  <c r="E85" i="2" a="1"/>
  <c r="E85" i="2"/>
  <c r="E86" i="2" a="1"/>
  <c r="E86" i="2"/>
  <c r="E87" i="2" a="1"/>
  <c r="E87" i="2"/>
  <c r="E88" i="2" a="1"/>
  <c r="E88" i="2"/>
  <c r="E89" i="2" a="1"/>
  <c r="E89" i="2"/>
  <c r="E90" i="2" a="1"/>
  <c r="E90" i="2" s="1"/>
  <c r="E91" i="2" a="1"/>
  <c r="E91" i="2"/>
  <c r="E92" i="2" a="1"/>
  <c r="E92" i="2"/>
  <c r="E93" i="2" a="1"/>
  <c r="E93" i="2"/>
  <c r="E94" i="2" a="1"/>
  <c r="E94" i="2"/>
  <c r="E95" i="2" a="1"/>
  <c r="E95" i="2"/>
  <c r="E96" i="2" a="1"/>
  <c r="E96" i="2"/>
  <c r="E97" i="2" a="1"/>
  <c r="E97" i="2"/>
  <c r="E98" i="2" a="1"/>
  <c r="E98" i="2" s="1"/>
  <c r="E99" i="2" a="1"/>
  <c r="E99" i="2"/>
  <c r="E100" i="2" a="1"/>
  <c r="E100" i="2"/>
  <c r="E101" i="2" a="1"/>
  <c r="E101" i="2"/>
  <c r="E102" i="2" a="1"/>
  <c r="E102" i="2"/>
  <c r="E103" i="2" a="1"/>
  <c r="E103" i="2"/>
  <c r="E104" i="2" a="1"/>
  <c r="E104" i="2"/>
  <c r="E105" i="2" a="1"/>
  <c r="E105" i="2"/>
  <c r="E106" i="2" a="1"/>
  <c r="E106" i="2" s="1"/>
  <c r="E107" i="2" a="1"/>
  <c r="E107" i="2"/>
  <c r="E108" i="2" a="1"/>
  <c r="E108" i="2"/>
  <c r="E109" i="2" a="1"/>
  <c r="E109" i="2"/>
  <c r="E110" i="2" a="1"/>
  <c r="E110" i="2"/>
  <c r="E111" i="2" a="1"/>
  <c r="E111" i="2"/>
  <c r="E112" i="2" a="1"/>
  <c r="E112" i="2"/>
  <c r="E113" i="2" a="1"/>
  <c r="E113" i="2"/>
  <c r="E114" i="2" a="1"/>
  <c r="E114" i="2" s="1"/>
  <c r="E115" i="2" a="1"/>
  <c r="E115" i="2"/>
  <c r="E116" i="2" a="1"/>
  <c r="E116" i="2"/>
  <c r="E117" i="2" a="1"/>
  <c r="E117" i="2"/>
  <c r="E118" i="2" a="1"/>
  <c r="E118" i="2"/>
  <c r="E119" i="2" a="1"/>
  <c r="E119" i="2"/>
  <c r="E120" i="2" a="1"/>
  <c r="E120" i="2"/>
  <c r="E121" i="2" a="1"/>
  <c r="E121" i="2"/>
  <c r="E122" i="2" a="1"/>
  <c r="E122" i="2" s="1"/>
  <c r="E123" i="2" a="1"/>
  <c r="E123" i="2"/>
  <c r="E124" i="2" a="1"/>
  <c r="E124" i="2"/>
  <c r="E125" i="2" a="1"/>
  <c r="E125" i="2"/>
  <c r="E126" i="2" a="1"/>
  <c r="E126" i="2"/>
  <c r="E127" i="2" a="1"/>
  <c r="E127" i="2"/>
  <c r="E128" i="2" a="1"/>
  <c r="E128" i="2"/>
  <c r="E129" i="2" a="1"/>
  <c r="E129" i="2"/>
  <c r="E130" i="2" a="1"/>
  <c r="E130" i="2" s="1"/>
  <c r="E131" i="2" a="1"/>
  <c r="E131" i="2"/>
  <c r="E132" i="2" a="1"/>
  <c r="E132" i="2"/>
  <c r="E133" i="2" a="1"/>
  <c r="E133" i="2"/>
  <c r="E134" i="2" a="1"/>
  <c r="E134" i="2"/>
  <c r="E135" i="2" a="1"/>
  <c r="E135" i="2"/>
  <c r="E136" i="2" a="1"/>
  <c r="E136" i="2"/>
  <c r="E137" i="2" a="1"/>
  <c r="E137" i="2"/>
  <c r="E138" i="2" a="1"/>
  <c r="E138" i="2" s="1"/>
  <c r="E139" i="2" a="1"/>
  <c r="E139" i="2"/>
  <c r="E140" i="2" a="1"/>
  <c r="E140" i="2"/>
  <c r="E141" i="2" a="1"/>
  <c r="E141" i="2"/>
  <c r="E142" i="2" a="1"/>
  <c r="E142" i="2"/>
  <c r="E143" i="2" a="1"/>
  <c r="E143" i="2"/>
  <c r="E144" i="2" a="1"/>
  <c r="E144" i="2"/>
  <c r="E145" i="2" a="1"/>
  <c r="E145" i="2"/>
  <c r="E146" i="2" a="1"/>
  <c r="E146" i="2" s="1"/>
  <c r="E147" i="2" a="1"/>
  <c r="E147" i="2"/>
  <c r="E148" i="2" a="1"/>
  <c r="E148" i="2"/>
  <c r="E149" i="2" a="1"/>
  <c r="E149" i="2"/>
  <c r="E150" i="2" a="1"/>
  <c r="E150" i="2"/>
  <c r="E151" i="2" a="1"/>
  <c r="E151" i="2"/>
  <c r="C4" i="5"/>
  <c r="B4" i="5"/>
  <c r="B44" i="3"/>
  <c r="B43" i="3"/>
  <c r="B42" i="3"/>
  <c r="B41" i="3"/>
  <c r="B40" i="3"/>
  <c r="B39" i="3"/>
  <c r="B38" i="3"/>
  <c r="B37" i="3"/>
  <c r="B36" i="3"/>
  <c r="B35" i="3"/>
  <c r="B34" i="3"/>
  <c r="B33" i="3"/>
  <c r="B32" i="3"/>
  <c r="B31" i="3"/>
  <c r="B30" i="3"/>
  <c r="B29" i="3"/>
  <c r="B28" i="3"/>
  <c r="B27" i="3"/>
  <c r="B26" i="3"/>
  <c r="B25" i="3"/>
  <c r="B24" i="3"/>
  <c r="B23" i="3"/>
  <c r="B22" i="3"/>
  <c r="B21" i="3"/>
  <c r="F16" i="3"/>
  <c r="B16" i="3"/>
  <c r="F15" i="3"/>
  <c r="B15" i="3"/>
  <c r="F14" i="3"/>
  <c r="B14" i="3"/>
  <c r="F13" i="3"/>
  <c r="B13" i="3"/>
  <c r="F12" i="3"/>
  <c r="B12" i="3"/>
  <c r="F11" i="3"/>
  <c r="B11" i="3"/>
  <c r="F10" i="3"/>
  <c r="B10" i="3"/>
  <c r="F9" i="3"/>
  <c r="B9" i="3"/>
  <c r="F8" i="3"/>
  <c r="B8" i="3"/>
  <c r="F7" i="3"/>
  <c r="B7" i="3"/>
  <c r="F6" i="3"/>
  <c r="B6" i="3"/>
  <c r="F5" i="3"/>
  <c r="B5" i="3"/>
  <c r="F4" i="3"/>
  <c r="B4" i="3"/>
  <c r="F3" i="3"/>
  <c r="B3" i="3"/>
  <c r="K151" i="2"/>
  <c r="J151" i="2"/>
  <c r="I151" i="2"/>
  <c r="H151" i="2"/>
  <c r="L151" i="2" s="1"/>
  <c r="K150" i="2"/>
  <c r="J150" i="2"/>
  <c r="I150" i="2"/>
  <c r="H150" i="2"/>
  <c r="L150" i="2" s="1"/>
  <c r="K149" i="2"/>
  <c r="J149" i="2"/>
  <c r="I149" i="2"/>
  <c r="H149" i="2"/>
  <c r="L149" i="2" s="1"/>
  <c r="K148" i="2"/>
  <c r="J148" i="2"/>
  <c r="I148" i="2"/>
  <c r="H148" i="2"/>
  <c r="L148" i="2" s="1"/>
  <c r="M148" i="2" s="1"/>
  <c r="K147" i="2"/>
  <c r="J147" i="2"/>
  <c r="I147" i="2"/>
  <c r="H147" i="2"/>
  <c r="L147" i="2" s="1"/>
  <c r="M147" i="2" s="1"/>
  <c r="K146" i="2"/>
  <c r="J146" i="2"/>
  <c r="I146" i="2"/>
  <c r="H146" i="2"/>
  <c r="L146" i="2" s="1"/>
  <c r="M146" i="2" s="1"/>
  <c r="K145" i="2"/>
  <c r="J145" i="2"/>
  <c r="I145" i="2"/>
  <c r="H145" i="2"/>
  <c r="L145" i="2" s="1"/>
  <c r="K144" i="2"/>
  <c r="J144" i="2"/>
  <c r="I144" i="2"/>
  <c r="H144" i="2"/>
  <c r="L144" i="2" s="1"/>
  <c r="M144" i="2" s="1"/>
  <c r="K143" i="2"/>
  <c r="J143" i="2"/>
  <c r="I143" i="2"/>
  <c r="H143" i="2"/>
  <c r="L143" i="2" s="1"/>
  <c r="K142" i="2"/>
  <c r="J142" i="2"/>
  <c r="I142" i="2"/>
  <c r="H142" i="2"/>
  <c r="L142" i="2" s="1"/>
  <c r="K141" i="2"/>
  <c r="J141" i="2"/>
  <c r="I141" i="2"/>
  <c r="H141" i="2"/>
  <c r="L141" i="2" s="1"/>
  <c r="K140" i="2"/>
  <c r="J140" i="2"/>
  <c r="I140" i="2"/>
  <c r="H140" i="2"/>
  <c r="L140" i="2" s="1"/>
  <c r="K139" i="2"/>
  <c r="J139" i="2"/>
  <c r="I139" i="2"/>
  <c r="H139" i="2"/>
  <c r="L139" i="2" s="1"/>
  <c r="K138" i="2"/>
  <c r="J138" i="2"/>
  <c r="I138" i="2"/>
  <c r="H138" i="2"/>
  <c r="L138" i="2" s="1"/>
  <c r="M138" i="2" s="1"/>
  <c r="K137" i="2"/>
  <c r="J137" i="2"/>
  <c r="I137" i="2"/>
  <c r="H137" i="2"/>
  <c r="L137" i="2" s="1"/>
  <c r="K136" i="2"/>
  <c r="J136" i="2"/>
  <c r="I136" i="2"/>
  <c r="H136" i="2"/>
  <c r="L136" i="2" s="1"/>
  <c r="K135" i="2"/>
  <c r="J135" i="2"/>
  <c r="I135" i="2"/>
  <c r="H135" i="2"/>
  <c r="L135" i="2" s="1"/>
  <c r="K134" i="2"/>
  <c r="J134" i="2"/>
  <c r="I134" i="2"/>
  <c r="H134" i="2"/>
  <c r="L134" i="2" s="1"/>
  <c r="K133" i="2"/>
  <c r="J133" i="2"/>
  <c r="I133" i="2"/>
  <c r="H133" i="2"/>
  <c r="L133" i="2" s="1"/>
  <c r="K132" i="2"/>
  <c r="J132" i="2"/>
  <c r="I132" i="2"/>
  <c r="H132" i="2"/>
  <c r="L132" i="2" s="1"/>
  <c r="M132" i="2" s="1"/>
  <c r="K131" i="2"/>
  <c r="J131" i="2"/>
  <c r="I131" i="2"/>
  <c r="H131" i="2"/>
  <c r="L131" i="2" s="1"/>
  <c r="K130" i="2"/>
  <c r="J130" i="2"/>
  <c r="I130" i="2"/>
  <c r="H130" i="2"/>
  <c r="L130" i="2" s="1"/>
  <c r="M130" i="2" s="1"/>
  <c r="K129" i="2"/>
  <c r="J129" i="2"/>
  <c r="I129" i="2"/>
  <c r="H129" i="2"/>
  <c r="L129" i="2" s="1"/>
  <c r="K128" i="2"/>
  <c r="J128" i="2"/>
  <c r="I128" i="2"/>
  <c r="H128" i="2"/>
  <c r="L128" i="2" s="1"/>
  <c r="M128" i="2" s="1"/>
  <c r="K127" i="2"/>
  <c r="J127" i="2"/>
  <c r="I127" i="2"/>
  <c r="H127" i="2"/>
  <c r="L127" i="2" s="1"/>
  <c r="K126" i="2"/>
  <c r="J126" i="2"/>
  <c r="I126" i="2"/>
  <c r="H126" i="2"/>
  <c r="L126" i="2" s="1"/>
  <c r="M126" i="2" s="1"/>
  <c r="K125" i="2"/>
  <c r="J125" i="2"/>
  <c r="I125" i="2"/>
  <c r="H125" i="2"/>
  <c r="L125" i="2" s="1"/>
  <c r="K124" i="2"/>
  <c r="J124" i="2"/>
  <c r="I124" i="2"/>
  <c r="H124" i="2"/>
  <c r="L124" i="2" s="1"/>
  <c r="C35" i="3" s="1"/>
  <c r="K123" i="2"/>
  <c r="J123" i="2"/>
  <c r="I123" i="2"/>
  <c r="H123" i="2"/>
  <c r="L123" i="2" s="1"/>
  <c r="K122" i="2"/>
  <c r="J122" i="2"/>
  <c r="I122" i="2"/>
  <c r="H122" i="2"/>
  <c r="L122" i="2" s="1"/>
  <c r="K121" i="2"/>
  <c r="J121" i="2"/>
  <c r="I121" i="2"/>
  <c r="H121" i="2"/>
  <c r="L121" i="2" s="1"/>
  <c r="K120" i="2"/>
  <c r="J120" i="2"/>
  <c r="I120" i="2"/>
  <c r="H120" i="2"/>
  <c r="L120" i="2" s="1"/>
  <c r="K119" i="2"/>
  <c r="J119" i="2"/>
  <c r="I119" i="2"/>
  <c r="H119" i="2"/>
  <c r="L119" i="2" s="1"/>
  <c r="K118" i="2"/>
  <c r="J118" i="2"/>
  <c r="I118" i="2"/>
  <c r="H118" i="2"/>
  <c r="L118" i="2" s="1"/>
  <c r="K117" i="2"/>
  <c r="J117" i="2"/>
  <c r="I117" i="2"/>
  <c r="H117" i="2"/>
  <c r="L117" i="2" s="1"/>
  <c r="K116" i="2"/>
  <c r="J116" i="2"/>
  <c r="I116" i="2"/>
  <c r="H116" i="2"/>
  <c r="L116" i="2" s="1"/>
  <c r="K115" i="2"/>
  <c r="J115" i="2"/>
  <c r="I115" i="2"/>
  <c r="H115" i="2"/>
  <c r="L115" i="2" s="1"/>
  <c r="K114" i="2"/>
  <c r="J114" i="2"/>
  <c r="I114" i="2"/>
  <c r="H114" i="2"/>
  <c r="L114" i="2" s="1"/>
  <c r="M114" i="2" s="1"/>
  <c r="K113" i="2"/>
  <c r="J113" i="2"/>
  <c r="I113" i="2"/>
  <c r="H113" i="2"/>
  <c r="L113" i="2" s="1"/>
  <c r="K112" i="2"/>
  <c r="J112" i="2"/>
  <c r="I112" i="2"/>
  <c r="H112" i="2"/>
  <c r="L112" i="2" s="1"/>
  <c r="K111" i="2"/>
  <c r="J111" i="2"/>
  <c r="I111" i="2"/>
  <c r="H111" i="2"/>
  <c r="L111" i="2" s="1"/>
  <c r="K110" i="2"/>
  <c r="J110" i="2"/>
  <c r="I110" i="2"/>
  <c r="H110" i="2"/>
  <c r="L110" i="2" s="1"/>
  <c r="K109" i="2"/>
  <c r="J109" i="2"/>
  <c r="I109" i="2"/>
  <c r="H109" i="2"/>
  <c r="L109" i="2" s="1"/>
  <c r="M109" i="2" s="1"/>
  <c r="K108" i="2"/>
  <c r="J108" i="2"/>
  <c r="I108" i="2"/>
  <c r="H108" i="2"/>
  <c r="L108" i="2" s="1"/>
  <c r="K107" i="2"/>
  <c r="J107" i="2"/>
  <c r="I107" i="2"/>
  <c r="H107" i="2"/>
  <c r="L107" i="2" s="1"/>
  <c r="K106" i="2"/>
  <c r="J106" i="2"/>
  <c r="I106" i="2"/>
  <c r="H106" i="2"/>
  <c r="L106" i="2" s="1"/>
  <c r="M106" i="2" s="1"/>
  <c r="K105" i="2"/>
  <c r="J105" i="2"/>
  <c r="I105" i="2"/>
  <c r="H105" i="2"/>
  <c r="L105" i="2" s="1"/>
  <c r="K104" i="2"/>
  <c r="J104" i="2"/>
  <c r="I104" i="2"/>
  <c r="H104" i="2"/>
  <c r="L104" i="2" s="1"/>
  <c r="K103" i="2"/>
  <c r="J103" i="2"/>
  <c r="I103" i="2"/>
  <c r="H103" i="2"/>
  <c r="L103" i="2" s="1"/>
  <c r="K102" i="2"/>
  <c r="J102" i="2"/>
  <c r="I102" i="2"/>
  <c r="H102" i="2"/>
  <c r="L102" i="2" s="1"/>
  <c r="K101" i="2"/>
  <c r="J101" i="2"/>
  <c r="I101" i="2"/>
  <c r="H101" i="2"/>
  <c r="L101" i="2" s="1"/>
  <c r="K100" i="2"/>
  <c r="J100" i="2"/>
  <c r="I100" i="2"/>
  <c r="H100" i="2"/>
  <c r="L100" i="2" s="1"/>
  <c r="M100" i="2" s="1"/>
  <c r="K99" i="2"/>
  <c r="J99" i="2"/>
  <c r="I99" i="2"/>
  <c r="H99" i="2"/>
  <c r="L99" i="2" s="1"/>
  <c r="K98" i="2"/>
  <c r="J98" i="2"/>
  <c r="I98" i="2"/>
  <c r="H98" i="2"/>
  <c r="L98" i="2" s="1"/>
  <c r="M98" i="2" s="1"/>
  <c r="K97" i="2"/>
  <c r="J97" i="2"/>
  <c r="I97" i="2"/>
  <c r="H97" i="2"/>
  <c r="L97" i="2" s="1"/>
  <c r="K96" i="2"/>
  <c r="J96" i="2"/>
  <c r="I96" i="2"/>
  <c r="H96" i="2"/>
  <c r="L96" i="2" s="1"/>
  <c r="M96" i="2" s="1"/>
  <c r="K95" i="2"/>
  <c r="J95" i="2"/>
  <c r="I95" i="2"/>
  <c r="H95" i="2"/>
  <c r="L95" i="2" s="1"/>
  <c r="K94" i="2"/>
  <c r="J94" i="2"/>
  <c r="I94" i="2"/>
  <c r="H94" i="2"/>
  <c r="L94" i="2" s="1"/>
  <c r="M94" i="2" s="1"/>
  <c r="K93" i="2"/>
  <c r="J93" i="2"/>
  <c r="I93" i="2"/>
  <c r="H93" i="2"/>
  <c r="L93" i="2" s="1"/>
  <c r="K92" i="2"/>
  <c r="J92" i="2"/>
  <c r="I92" i="2"/>
  <c r="H92" i="2"/>
  <c r="L92" i="2" s="1"/>
  <c r="K91" i="2"/>
  <c r="J91" i="2"/>
  <c r="I91" i="2"/>
  <c r="H91" i="2"/>
  <c r="L91" i="2" s="1"/>
  <c r="M91" i="2" s="1"/>
  <c r="K90" i="2"/>
  <c r="J90" i="2"/>
  <c r="I90" i="2"/>
  <c r="H90" i="2"/>
  <c r="L90" i="2" s="1"/>
  <c r="M90" i="2" s="1"/>
  <c r="K89" i="2"/>
  <c r="J89" i="2"/>
  <c r="I89" i="2"/>
  <c r="H89" i="2"/>
  <c r="L89" i="2" s="1"/>
  <c r="K88" i="2"/>
  <c r="J88" i="2"/>
  <c r="I88" i="2"/>
  <c r="H88" i="2"/>
  <c r="L88" i="2" s="1"/>
  <c r="M88" i="2" s="1"/>
  <c r="K87" i="2"/>
  <c r="J87" i="2"/>
  <c r="I87" i="2"/>
  <c r="H87" i="2"/>
  <c r="L87" i="2" s="1"/>
  <c r="K86" i="2"/>
  <c r="J86" i="2"/>
  <c r="I86" i="2"/>
  <c r="H86" i="2"/>
  <c r="L86" i="2" s="1"/>
  <c r="K85" i="2"/>
  <c r="J85" i="2"/>
  <c r="I85" i="2"/>
  <c r="H85" i="2"/>
  <c r="L85" i="2" s="1"/>
  <c r="M85" i="2" s="1"/>
  <c r="K84" i="2"/>
  <c r="J84" i="2"/>
  <c r="I84" i="2"/>
  <c r="H84" i="2"/>
  <c r="L84" i="2" s="1"/>
  <c r="M84" i="2" s="1"/>
  <c r="K83" i="2"/>
  <c r="J83" i="2"/>
  <c r="I83" i="2"/>
  <c r="H83" i="2"/>
  <c r="L83" i="2" s="1"/>
  <c r="K82" i="2"/>
  <c r="J82" i="2"/>
  <c r="I82" i="2"/>
  <c r="H82" i="2"/>
  <c r="L82" i="2" s="1"/>
  <c r="M82" i="2" s="1"/>
  <c r="K81" i="2"/>
  <c r="J81" i="2"/>
  <c r="I81" i="2"/>
  <c r="H81" i="2"/>
  <c r="L81" i="2" s="1"/>
  <c r="K80" i="2"/>
  <c r="J80" i="2"/>
  <c r="I80" i="2"/>
  <c r="H80" i="2"/>
  <c r="L80" i="2" s="1"/>
  <c r="M80" i="2" s="1"/>
  <c r="K79" i="2"/>
  <c r="J79" i="2"/>
  <c r="I79" i="2"/>
  <c r="H79" i="2"/>
  <c r="L79" i="2" s="1"/>
  <c r="K78" i="2"/>
  <c r="J78" i="2"/>
  <c r="I78" i="2"/>
  <c r="H78" i="2"/>
  <c r="L78" i="2" s="1"/>
  <c r="K77" i="2"/>
  <c r="J77" i="2"/>
  <c r="I77" i="2"/>
  <c r="H77" i="2"/>
  <c r="L77" i="2" s="1"/>
  <c r="K76" i="2"/>
  <c r="J76" i="2"/>
  <c r="I76" i="2"/>
  <c r="H76" i="2"/>
  <c r="L76" i="2" s="1"/>
  <c r="K75" i="2"/>
  <c r="J75" i="2"/>
  <c r="I75" i="2"/>
  <c r="H75" i="2"/>
  <c r="L75" i="2" s="1"/>
  <c r="K74" i="2"/>
  <c r="J74" i="2"/>
  <c r="I74" i="2"/>
  <c r="H74" i="2"/>
  <c r="L74" i="2" s="1"/>
  <c r="M74" i="2" s="1"/>
  <c r="K73" i="2"/>
  <c r="J73" i="2"/>
  <c r="I73" i="2"/>
  <c r="H73" i="2"/>
  <c r="L73" i="2" s="1"/>
  <c r="K72" i="2"/>
  <c r="J72" i="2"/>
  <c r="I72" i="2"/>
  <c r="H72" i="2"/>
  <c r="L72" i="2" s="1"/>
  <c r="K71" i="2"/>
  <c r="J71" i="2"/>
  <c r="I71" i="2"/>
  <c r="H71" i="2"/>
  <c r="L71" i="2" s="1"/>
  <c r="K70" i="2"/>
  <c r="J70" i="2"/>
  <c r="I70" i="2"/>
  <c r="H70" i="2"/>
  <c r="L70" i="2" s="1"/>
  <c r="K69" i="2"/>
  <c r="J69" i="2"/>
  <c r="I69" i="2"/>
  <c r="H69" i="2"/>
  <c r="L69" i="2" s="1"/>
  <c r="M69" i="2" s="1"/>
  <c r="K68" i="2"/>
  <c r="J68" i="2"/>
  <c r="I68" i="2"/>
  <c r="H68" i="2"/>
  <c r="L68" i="2" s="1"/>
  <c r="M68" i="2" s="1"/>
  <c r="K67" i="2"/>
  <c r="J67" i="2"/>
  <c r="I67" i="2"/>
  <c r="H67" i="2"/>
  <c r="L67" i="2" s="1"/>
  <c r="M67" i="2" s="1"/>
  <c r="K66" i="2"/>
  <c r="J66" i="2"/>
  <c r="I66" i="2"/>
  <c r="H66" i="2"/>
  <c r="L66" i="2" s="1"/>
  <c r="M66" i="2" s="1"/>
  <c r="K65" i="2"/>
  <c r="J65" i="2"/>
  <c r="I65" i="2"/>
  <c r="H65" i="2"/>
  <c r="L65" i="2" s="1"/>
  <c r="K64" i="2"/>
  <c r="J64" i="2"/>
  <c r="I64" i="2"/>
  <c r="H64" i="2"/>
  <c r="L64" i="2" s="1"/>
  <c r="M64" i="2" s="1"/>
  <c r="K63" i="2"/>
  <c r="J63" i="2"/>
  <c r="I63" i="2"/>
  <c r="H63" i="2"/>
  <c r="L63" i="2" s="1"/>
  <c r="K62" i="2"/>
  <c r="J62" i="2"/>
  <c r="I62" i="2"/>
  <c r="H62" i="2"/>
  <c r="L62" i="2" s="1"/>
  <c r="K61" i="2"/>
  <c r="J61" i="2"/>
  <c r="I61" i="2"/>
  <c r="H61" i="2"/>
  <c r="L61" i="2" s="1"/>
  <c r="K60" i="2"/>
  <c r="J60" i="2"/>
  <c r="I60" i="2"/>
  <c r="H60" i="2"/>
  <c r="L60" i="2" s="1"/>
  <c r="K59" i="2"/>
  <c r="J59" i="2"/>
  <c r="I59" i="2"/>
  <c r="H59" i="2"/>
  <c r="L59" i="2" s="1"/>
  <c r="K58" i="2"/>
  <c r="J58" i="2"/>
  <c r="I58" i="2"/>
  <c r="H58" i="2"/>
  <c r="L58" i="2" s="1"/>
  <c r="M58" i="2" s="1"/>
  <c r="K57" i="2"/>
  <c r="J57" i="2"/>
  <c r="I57" i="2"/>
  <c r="H57" i="2"/>
  <c r="L57" i="2" s="1"/>
  <c r="K56" i="2"/>
  <c r="J56" i="2"/>
  <c r="I56" i="2"/>
  <c r="H56" i="2"/>
  <c r="L56" i="2" s="1"/>
  <c r="K55" i="2"/>
  <c r="J55" i="2"/>
  <c r="I55" i="2"/>
  <c r="H55" i="2"/>
  <c r="L55" i="2" s="1"/>
  <c r="M55" i="2" s="1"/>
  <c r="K54" i="2"/>
  <c r="J54" i="2"/>
  <c r="I54" i="2"/>
  <c r="H54" i="2"/>
  <c r="L54" i="2" s="1"/>
  <c r="K53" i="2"/>
  <c r="J53" i="2"/>
  <c r="I53" i="2"/>
  <c r="H53" i="2"/>
  <c r="L53" i="2" s="1"/>
  <c r="K52" i="2"/>
  <c r="J52" i="2"/>
  <c r="I52" i="2"/>
  <c r="H52" i="2"/>
  <c r="L52" i="2" s="1"/>
  <c r="M52" i="2" s="1"/>
  <c r="K51" i="2"/>
  <c r="J51" i="2"/>
  <c r="I51" i="2"/>
  <c r="H51" i="2"/>
  <c r="L51" i="2" s="1"/>
  <c r="M51" i="2" s="1"/>
  <c r="K50" i="2"/>
  <c r="J50" i="2"/>
  <c r="I50" i="2"/>
  <c r="H50" i="2"/>
  <c r="L50" i="2" s="1"/>
  <c r="M50" i="2" s="1"/>
  <c r="K49" i="2"/>
  <c r="J49" i="2"/>
  <c r="I49" i="2"/>
  <c r="H49" i="2"/>
  <c r="L49" i="2" s="1"/>
  <c r="K48" i="2"/>
  <c r="J48" i="2"/>
  <c r="I48" i="2"/>
  <c r="H48" i="2"/>
  <c r="L48" i="2" s="1"/>
  <c r="C30" i="3" s="1"/>
  <c r="K47" i="2"/>
  <c r="J47" i="2"/>
  <c r="I47" i="2"/>
  <c r="H47" i="2"/>
  <c r="L47" i="2" s="1"/>
  <c r="K46" i="2"/>
  <c r="J46" i="2"/>
  <c r="I46" i="2"/>
  <c r="H46" i="2"/>
  <c r="L46" i="2" s="1"/>
  <c r="K45" i="2"/>
  <c r="J45" i="2"/>
  <c r="I45" i="2"/>
  <c r="H45" i="2"/>
  <c r="L45" i="2" s="1"/>
  <c r="K44" i="2"/>
  <c r="J44" i="2"/>
  <c r="I44" i="2"/>
  <c r="H44" i="2"/>
  <c r="L44" i="2" s="1"/>
  <c r="K43" i="2"/>
  <c r="J43" i="2"/>
  <c r="I43" i="2"/>
  <c r="H43" i="2"/>
  <c r="L43" i="2" s="1"/>
  <c r="K42" i="2"/>
  <c r="J42" i="2"/>
  <c r="I42" i="2"/>
  <c r="H42" i="2"/>
  <c r="L42" i="2" s="1"/>
  <c r="M42" i="2" s="1"/>
  <c r="K41" i="2"/>
  <c r="J41" i="2"/>
  <c r="I41" i="2"/>
  <c r="H41" i="2"/>
  <c r="L41" i="2" s="1"/>
  <c r="K40" i="2"/>
  <c r="J40" i="2"/>
  <c r="I40" i="2"/>
  <c r="H40" i="2"/>
  <c r="L40" i="2" s="1"/>
  <c r="K39" i="2"/>
  <c r="J39" i="2"/>
  <c r="I39" i="2"/>
  <c r="H39" i="2"/>
  <c r="L39" i="2" s="1"/>
  <c r="M39" i="2" s="1"/>
  <c r="K38" i="2"/>
  <c r="J38" i="2"/>
  <c r="I38" i="2"/>
  <c r="H38" i="2"/>
  <c r="L38" i="2" s="1"/>
  <c r="K37" i="2"/>
  <c r="J37" i="2"/>
  <c r="I37" i="2"/>
  <c r="H37" i="2"/>
  <c r="L37" i="2" s="1"/>
  <c r="M37" i="2" s="1"/>
  <c r="K36" i="2"/>
  <c r="J36" i="2"/>
  <c r="I36" i="2"/>
  <c r="H36" i="2"/>
  <c r="L36" i="2" s="1"/>
  <c r="K35" i="2"/>
  <c r="J35" i="2"/>
  <c r="I35" i="2"/>
  <c r="H35" i="2"/>
  <c r="L35" i="2" s="1"/>
  <c r="K34" i="2"/>
  <c r="J34" i="2"/>
  <c r="I34" i="2"/>
  <c r="H34" i="2"/>
  <c r="L34" i="2" s="1"/>
  <c r="K33" i="2"/>
  <c r="J33" i="2"/>
  <c r="I33" i="2"/>
  <c r="H33" i="2"/>
  <c r="L33" i="2" s="1"/>
  <c r="K32" i="2"/>
  <c r="J32" i="2"/>
  <c r="I32" i="2"/>
  <c r="H32" i="2"/>
  <c r="L32" i="2" s="1"/>
  <c r="K31" i="2"/>
  <c r="J31" i="2"/>
  <c r="I31" i="2"/>
  <c r="H31" i="2"/>
  <c r="L31" i="2" s="1"/>
  <c r="K30" i="2"/>
  <c r="J30" i="2"/>
  <c r="I30" i="2"/>
  <c r="H30" i="2"/>
  <c r="L30" i="2" s="1"/>
  <c r="K29" i="2"/>
  <c r="J29" i="2"/>
  <c r="I29" i="2"/>
  <c r="H29" i="2"/>
  <c r="L29" i="2" s="1"/>
  <c r="K28" i="2"/>
  <c r="J28" i="2"/>
  <c r="I28" i="2"/>
  <c r="H28" i="2"/>
  <c r="L28" i="2" s="1"/>
  <c r="K27" i="2"/>
  <c r="J27" i="2"/>
  <c r="I27" i="2"/>
  <c r="H27" i="2"/>
  <c r="L27" i="2" s="1"/>
  <c r="K26" i="2"/>
  <c r="J26" i="2"/>
  <c r="I26" i="2"/>
  <c r="H26" i="2"/>
  <c r="L26" i="2" s="1"/>
  <c r="M26" i="2" s="1"/>
  <c r="K25" i="2"/>
  <c r="J25" i="2"/>
  <c r="I25" i="2"/>
  <c r="H25" i="2"/>
  <c r="L25" i="2" s="1"/>
  <c r="K24" i="2"/>
  <c r="J24" i="2"/>
  <c r="I24" i="2"/>
  <c r="H24" i="2"/>
  <c r="L24" i="2" s="1"/>
  <c r="K23" i="2"/>
  <c r="J23" i="2"/>
  <c r="I23" i="2"/>
  <c r="H23" i="2"/>
  <c r="L23" i="2" s="1"/>
  <c r="K22" i="2"/>
  <c r="J22" i="2"/>
  <c r="I22" i="2"/>
  <c r="H22" i="2"/>
  <c r="L22" i="2" s="1"/>
  <c r="K21" i="2"/>
  <c r="J21" i="2"/>
  <c r="I21" i="2"/>
  <c r="H21" i="2"/>
  <c r="L21" i="2" s="1"/>
  <c r="K20" i="2"/>
  <c r="J20" i="2"/>
  <c r="I20" i="2"/>
  <c r="H20" i="2"/>
  <c r="L20" i="2" s="1"/>
  <c r="M20" i="2" s="1"/>
  <c r="K19" i="2"/>
  <c r="J19" i="2"/>
  <c r="I19" i="2"/>
  <c r="H19" i="2"/>
  <c r="L19" i="2" s="1"/>
  <c r="M19" i="2" s="1"/>
  <c r="K18" i="2"/>
  <c r="J18" i="2"/>
  <c r="I18" i="2"/>
  <c r="H18" i="2"/>
  <c r="L18" i="2" s="1"/>
  <c r="K17" i="2"/>
  <c r="J17" i="2"/>
  <c r="I17" i="2"/>
  <c r="H17" i="2"/>
  <c r="L17" i="2" s="1"/>
  <c r="K16" i="2"/>
  <c r="J16" i="2"/>
  <c r="I16" i="2"/>
  <c r="H16" i="2"/>
  <c r="L16" i="2" s="1"/>
  <c r="K15" i="2"/>
  <c r="J15" i="2"/>
  <c r="I15" i="2"/>
  <c r="H15" i="2"/>
  <c r="L15" i="2" s="1"/>
  <c r="K14" i="2"/>
  <c r="J14" i="2"/>
  <c r="I14" i="2"/>
  <c r="H14" i="2"/>
  <c r="L14" i="2" s="1"/>
  <c r="K13" i="2"/>
  <c r="J13" i="2"/>
  <c r="I13" i="2"/>
  <c r="H13" i="2"/>
  <c r="L13" i="2" s="1"/>
  <c r="K12" i="2"/>
  <c r="J12" i="2"/>
  <c r="I12" i="2"/>
  <c r="H12" i="2"/>
  <c r="L12" i="2" s="1"/>
  <c r="K11" i="2"/>
  <c r="J11" i="2"/>
  <c r="I11" i="2"/>
  <c r="H11" i="2"/>
  <c r="L11" i="2" s="1"/>
  <c r="M11" i="2" s="1"/>
  <c r="K10" i="2"/>
  <c r="J10" i="2"/>
  <c r="I10" i="2"/>
  <c r="H10" i="2"/>
  <c r="L10" i="2" s="1"/>
  <c r="K9" i="2"/>
  <c r="J9" i="2"/>
  <c r="I9" i="2"/>
  <c r="H9" i="2"/>
  <c r="L9" i="2" s="1"/>
  <c r="K8" i="2"/>
  <c r="J8" i="2"/>
  <c r="I8" i="2"/>
  <c r="H8" i="2"/>
  <c r="L8" i="2" s="1"/>
  <c r="M8" i="2" s="1"/>
  <c r="K7" i="2"/>
  <c r="J7" i="2"/>
  <c r="I7" i="2"/>
  <c r="H7" i="2"/>
  <c r="L7" i="2" s="1"/>
  <c r="K6" i="2"/>
  <c r="J6" i="2"/>
  <c r="I6" i="2"/>
  <c r="H6" i="2"/>
  <c r="L6" i="2" s="1"/>
  <c r="K5" i="2"/>
  <c r="J5" i="2"/>
  <c r="I5" i="2"/>
  <c r="H5" i="2"/>
  <c r="L5" i="2" s="1"/>
  <c r="K4" i="2"/>
  <c r="J4" i="2"/>
  <c r="I4" i="2"/>
  <c r="H4" i="2"/>
  <c r="L4" i="2" s="1"/>
  <c r="K3" i="2"/>
  <c r="J3" i="2"/>
  <c r="I3" i="2"/>
  <c r="H3" i="2"/>
  <c r="L3" i="2" s="1"/>
  <c r="K2" i="2"/>
  <c r="J2" i="2"/>
  <c r="I2" i="2"/>
  <c r="H2" i="2"/>
  <c r="L2" i="2" s="1"/>
  <c r="B13" i="1"/>
  <c r="B2" i="1"/>
  <c r="C32" i="3" l="1"/>
  <c r="D6" i="3"/>
  <c r="D11" i="3"/>
  <c r="D5" i="3"/>
  <c r="C31" i="3"/>
  <c r="D10" i="3"/>
  <c r="M14" i="2"/>
  <c r="C3" i="3"/>
  <c r="D8" i="3"/>
  <c r="D9" i="3"/>
  <c r="M53" i="2"/>
  <c r="D12" i="3"/>
  <c r="D14" i="3"/>
  <c r="D7" i="3"/>
  <c r="M122" i="2"/>
  <c r="D16" i="3"/>
  <c r="D15" i="3"/>
  <c r="M120" i="2"/>
  <c r="D13" i="3"/>
  <c r="D3" i="3"/>
  <c r="D4" i="3"/>
  <c r="M131" i="2"/>
  <c r="C37" i="3"/>
  <c r="C10" i="3"/>
  <c r="M107" i="2"/>
  <c r="C7" i="3"/>
  <c r="C42" i="3"/>
  <c r="M21" i="2"/>
  <c r="M83" i="2"/>
  <c r="D26" i="3"/>
  <c r="C14" i="3"/>
  <c r="C12" i="3"/>
  <c r="C41" i="3"/>
  <c r="M6" i="2"/>
  <c r="M149" i="2"/>
  <c r="M86" i="2"/>
  <c r="C6" i="3"/>
  <c r="B16" i="1"/>
  <c r="M3" i="2"/>
  <c r="M101" i="2"/>
  <c r="M15" i="2"/>
  <c r="M9" i="2"/>
  <c r="C43" i="3"/>
  <c r="M110" i="2"/>
  <c r="M134" i="2"/>
  <c r="C34" i="3"/>
  <c r="M45" i="2"/>
  <c r="M112" i="2"/>
  <c r="M25" i="2"/>
  <c r="C13" i="3"/>
  <c r="M119" i="2"/>
  <c r="M33" i="2"/>
  <c r="M95" i="2"/>
  <c r="M30" i="2"/>
  <c r="M17" i="2"/>
  <c r="M115" i="2"/>
  <c r="M125" i="2"/>
  <c r="M113" i="2"/>
  <c r="M116" i="2"/>
  <c r="M65" i="2"/>
  <c r="M22" i="2"/>
  <c r="E3" i="3" s="1"/>
  <c r="M38" i="2"/>
  <c r="C33" i="3"/>
  <c r="M117" i="2"/>
  <c r="M35" i="2"/>
  <c r="M62" i="2"/>
  <c r="M92" i="2"/>
  <c r="M150" i="2"/>
  <c r="M36" i="2"/>
  <c r="C27" i="3"/>
  <c r="M140" i="2"/>
  <c r="C44" i="3"/>
  <c r="M13" i="2"/>
  <c r="M70" i="2"/>
  <c r="M127" i="2"/>
  <c r="M60" i="2"/>
  <c r="M54" i="2"/>
  <c r="M7" i="2"/>
  <c r="C5" i="3"/>
  <c r="M141" i="2"/>
  <c r="M103" i="2"/>
  <c r="M71" i="2"/>
  <c r="C22" i="3"/>
  <c r="M5" i="2"/>
  <c r="C40" i="3"/>
  <c r="M46" i="2"/>
  <c r="M89" i="2"/>
  <c r="M102" i="2"/>
  <c r="M133" i="2"/>
  <c r="M136" i="2"/>
  <c r="M139" i="2"/>
  <c r="M137" i="2"/>
  <c r="C23" i="3"/>
  <c r="M57" i="2"/>
  <c r="C28" i="3"/>
  <c r="M40" i="2"/>
  <c r="M27" i="2"/>
  <c r="M31" i="2"/>
  <c r="M78" i="2"/>
  <c r="M151" i="2"/>
  <c r="C9" i="3"/>
  <c r="C26" i="3"/>
  <c r="M75" i="2"/>
  <c r="M24" i="2"/>
  <c r="M123" i="2"/>
  <c r="M12" i="2"/>
  <c r="C16" i="3"/>
  <c r="M104" i="2"/>
  <c r="M142" i="2"/>
  <c r="M18" i="2"/>
  <c r="M16" i="2"/>
  <c r="M32" i="2"/>
  <c r="C25" i="3"/>
  <c r="M43" i="2"/>
  <c r="M56" i="2"/>
  <c r="M59" i="2"/>
  <c r="M99" i="2"/>
  <c r="M29" i="2"/>
  <c r="C29" i="3"/>
  <c r="M93" i="2"/>
  <c r="M23" i="2"/>
  <c r="C36" i="3"/>
  <c r="M47" i="2"/>
  <c r="C39" i="3"/>
  <c r="M4" i="2"/>
  <c r="M61" i="2"/>
  <c r="M77" i="2"/>
  <c r="M81" i="2"/>
  <c r="M118" i="2"/>
  <c r="C11" i="3"/>
  <c r="M105" i="2"/>
  <c r="M108" i="2"/>
  <c r="M143" i="2"/>
  <c r="C24" i="3"/>
  <c r="M63" i="2"/>
  <c r="M72" i="2"/>
  <c r="M73" i="2"/>
  <c r="M111" i="2"/>
  <c r="C8" i="3"/>
  <c r="M97" i="2"/>
  <c r="M135" i="2"/>
  <c r="F4" i="5"/>
  <c r="C15" i="3"/>
  <c r="M34" i="2"/>
  <c r="M121" i="2"/>
  <c r="M124" i="2"/>
  <c r="C38" i="3"/>
  <c r="M129" i="2"/>
  <c r="M28" i="2"/>
  <c r="M48" i="2"/>
  <c r="C4" i="3"/>
  <c r="M10" i="2"/>
  <c r="M49" i="2"/>
  <c r="M87" i="2"/>
  <c r="M76" i="2"/>
  <c r="M2" i="2"/>
  <c r="M145" i="2"/>
  <c r="C21" i="3"/>
  <c r="M41" i="2"/>
  <c r="M44" i="2"/>
  <c r="M79" i="2"/>
  <c r="E5" i="3" l="1"/>
  <c r="E16" i="3"/>
  <c r="E10" i="3"/>
  <c r="E4" i="3"/>
  <c r="D33" i="3"/>
  <c r="D42" i="3"/>
  <c r="D28" i="3"/>
  <c r="D22" i="3"/>
  <c r="D31" i="3"/>
  <c r="E6" i="3"/>
  <c r="E8" i="3"/>
  <c r="E7" i="3"/>
  <c r="D29" i="3"/>
  <c r="E9" i="3"/>
  <c r="D38" i="3"/>
  <c r="D39" i="3"/>
  <c r="D32" i="3"/>
  <c r="D43" i="3"/>
  <c r="E14" i="3"/>
  <c r="D34" i="3"/>
  <c r="D25" i="3"/>
  <c r="E11" i="3"/>
  <c r="D24" i="3"/>
  <c r="D41" i="3"/>
  <c r="E12" i="3"/>
  <c r="D27" i="3"/>
  <c r="D35" i="3"/>
  <c r="D23" i="3"/>
  <c r="D44" i="3"/>
  <c r="D30" i="3"/>
  <c r="D37" i="3"/>
  <c r="E4" i="5"/>
  <c r="D4" i="5"/>
  <c r="E15" i="3"/>
  <c r="D21" i="3"/>
  <c r="B15" i="1"/>
  <c r="B14" i="1"/>
  <c r="B17" i="1"/>
  <c r="D36" i="3"/>
  <c r="D40" i="3"/>
  <c r="E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<sst xmlns="http://schemas.openxmlformats.org/spreadsheetml/2006/main" count="566" uniqueCount="265">
  <si>
    <t>FRAUD DETECTION RISK SCORER - EXECUTIVE DASHBOARD</t>
  </si>
  <si>
    <t>Analysis Date:</t>
  </si>
  <si>
    <t>KEY PERFORMANCE INDICATORS</t>
  </si>
  <si>
    <t>Total Transactions</t>
  </si>
  <si>
    <t>CRITICAL Risk Transactions</t>
  </si>
  <si>
    <t>HIGH Risk Transactions</t>
  </si>
  <si>
    <t>Average Risk Score</t>
  </si>
  <si>
    <t>High-Risk Transaction Value</t>
  </si>
  <si>
    <t>LOW</t>
  </si>
  <si>
    <t>MEDIUM</t>
  </si>
  <si>
    <t>Max Risk Score</t>
  </si>
  <si>
    <t>Transaction ID</t>
  </si>
  <si>
    <t>Amount</t>
  </si>
  <si>
    <t>Hour of Day</t>
  </si>
  <si>
    <t>Country</t>
  </si>
  <si>
    <t>Customer Age</t>
  </si>
  <si>
    <t>Prior High-Risk Transactions</t>
  </si>
  <si>
    <t>Transaction Date</t>
  </si>
  <si>
    <t>High-Risk Country</t>
  </si>
  <si>
    <t>Late Night Flag</t>
  </si>
  <si>
    <t>Amount Flag</t>
  </si>
  <si>
    <t>Prior Risk Flag</t>
  </si>
  <si>
    <t>Risk Score</t>
  </si>
  <si>
    <t>Risk Level</t>
  </si>
  <si>
    <t>TXN00001</t>
  </si>
  <si>
    <t>UK</t>
  </si>
  <si>
    <t>10/21/2025</t>
  </si>
  <si>
    <t>TXN00002</t>
  </si>
  <si>
    <t>Germany</t>
  </si>
  <si>
    <t>10/04/2025</t>
  </si>
  <si>
    <t>TXN00003</t>
  </si>
  <si>
    <t>Syria</t>
  </si>
  <si>
    <t>10/01/2025</t>
  </si>
  <si>
    <t>TXN00004</t>
  </si>
  <si>
    <t>10/24/2025</t>
  </si>
  <si>
    <t>TXN00005</t>
  </si>
  <si>
    <t>Pakistan</t>
  </si>
  <si>
    <t>10/09/2025</t>
  </si>
  <si>
    <t>TXN00006</t>
  </si>
  <si>
    <t>Canada</t>
  </si>
  <si>
    <t>10/08/2025</t>
  </si>
  <si>
    <t>TXN00007</t>
  </si>
  <si>
    <t>Netherlands</t>
  </si>
  <si>
    <t>TXN00008</t>
  </si>
  <si>
    <t>10/05/2025</t>
  </si>
  <si>
    <t>TXN00009</t>
  </si>
  <si>
    <t>Bangladesh</t>
  </si>
  <si>
    <t>TXN00010</t>
  </si>
  <si>
    <t>TXN00011</t>
  </si>
  <si>
    <t>USA</t>
  </si>
  <si>
    <t>10/22/2025</t>
  </si>
  <si>
    <t>TXN00012</t>
  </si>
  <si>
    <t>TXN00013</t>
  </si>
  <si>
    <t>Australia</t>
  </si>
  <si>
    <t>10/18/2025</t>
  </si>
  <si>
    <t>TXN00014</t>
  </si>
  <si>
    <t>10/03/2025</t>
  </si>
  <si>
    <t>TXN00015</t>
  </si>
  <si>
    <t>10/19/2025</t>
  </si>
  <si>
    <t>TXN00016</t>
  </si>
  <si>
    <t>10/14/2025</t>
  </si>
  <si>
    <t>TXN00017</t>
  </si>
  <si>
    <t>Nigeria</t>
  </si>
  <si>
    <t>10/02/2025</t>
  </si>
  <si>
    <t>TXN00018</t>
  </si>
  <si>
    <t>TXN00019</t>
  </si>
  <si>
    <t>TXN00020</t>
  </si>
  <si>
    <t>10/07/2025</t>
  </si>
  <si>
    <t>TXN00021</t>
  </si>
  <si>
    <t>TXN00022</t>
  </si>
  <si>
    <t>10/17/2025</t>
  </si>
  <si>
    <t>TXN00023</t>
  </si>
  <si>
    <t>10/20/2025</t>
  </si>
  <si>
    <t>TXN00024</t>
  </si>
  <si>
    <t>Singapore</t>
  </si>
  <si>
    <t>TXN00025</t>
  </si>
  <si>
    <t>TXN00026</t>
  </si>
  <si>
    <t>TXN00027</t>
  </si>
  <si>
    <t>10/23/2025</t>
  </si>
  <si>
    <t>TXN00028</t>
  </si>
  <si>
    <t>TXN00029</t>
  </si>
  <si>
    <t>TXN00030</t>
  </si>
  <si>
    <t>TXN00031</t>
  </si>
  <si>
    <t>TXN00032</t>
  </si>
  <si>
    <t>TXN00033</t>
  </si>
  <si>
    <t>Japan</t>
  </si>
  <si>
    <t>10/15/2025</t>
  </si>
  <si>
    <t>TXN00034</t>
  </si>
  <si>
    <t>TXN00035</t>
  </si>
  <si>
    <t>TXN00036</t>
  </si>
  <si>
    <t>TXN00037</t>
  </si>
  <si>
    <t>North Korea</t>
  </si>
  <si>
    <t>10/25/2025</t>
  </si>
  <si>
    <t>TXN00038</t>
  </si>
  <si>
    <t>10/06/2025</t>
  </si>
  <si>
    <t>TXN00039</t>
  </si>
  <si>
    <t>TXN00040</t>
  </si>
  <si>
    <t>TXN00041</t>
  </si>
  <si>
    <t>10/11/2025</t>
  </si>
  <si>
    <t>TXN00042</t>
  </si>
  <si>
    <t>TXN00043</t>
  </si>
  <si>
    <t>TXN00044</t>
  </si>
  <si>
    <t>TXN00045</t>
  </si>
  <si>
    <t>TXN00046</t>
  </si>
  <si>
    <t>TXN00047</t>
  </si>
  <si>
    <t>TXN00048</t>
  </si>
  <si>
    <t>TXN00049</t>
  </si>
  <si>
    <t>10/13/2025</t>
  </si>
  <si>
    <t>TXN00050</t>
  </si>
  <si>
    <t>TXN00051</t>
  </si>
  <si>
    <t>10/12/2025</t>
  </si>
  <si>
    <t>TXN00052</t>
  </si>
  <si>
    <t>TXN00053</t>
  </si>
  <si>
    <t>TXN00054</t>
  </si>
  <si>
    <t>TXN00055</t>
  </si>
  <si>
    <t>TXN00056</t>
  </si>
  <si>
    <t>TXN00057</t>
  </si>
  <si>
    <t>TXN00058</t>
  </si>
  <si>
    <t>TXN00059</t>
  </si>
  <si>
    <t>TXN00060</t>
  </si>
  <si>
    <t>TXN00061</t>
  </si>
  <si>
    <t>TXN00062</t>
  </si>
  <si>
    <t>TXN00063</t>
  </si>
  <si>
    <t>10/10/2025</t>
  </si>
  <si>
    <t>TXN00064</t>
  </si>
  <si>
    <t>TXN00065</t>
  </si>
  <si>
    <t>TXN00066</t>
  </si>
  <si>
    <t>TXN00067</t>
  </si>
  <si>
    <t>TXN00068</t>
  </si>
  <si>
    <t>Iran</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</si>
  <si>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</si>
  <si>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</si>
  <si>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</si>
  <si>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</si>
  <si>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</si>
  <si>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</si>
  <si>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</si>
  <si>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</si>
  <si>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</si>
  <si>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</si>
  <si>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</si>
  <si>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</si>
  <si>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</si>
  <si>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</si>
  <si>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</si>
  <si>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</si>
  <si>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</si>
  <si>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</si>
  <si>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</si>
  <si>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</si>
  <si>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</si>
  <si>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</si>
  <si>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</si>
  <si>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</si>
  <si>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</si>
  <si>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</si>
  <si>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</si>
  <si>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</si>
  <si>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</si>
  <si>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</si>
  <si>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</si>
  <si>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</si>
  <si>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</si>
  <si>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</si>
  <si>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</si>
  <si>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</si>
  <si>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</si>
  <si>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</si>
  <si>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</si>
  <si>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</si>
  <si>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</si>
  <si>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</si>
  <si>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</si>
  <si>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</si>
  <si>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</si>
  <si>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</si>
  <si>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</si>
  <si>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</si>
  <si>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</si>
  <si>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</si>
  <si>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</si>
  <si>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</si>
  <si>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</si>
  <si>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</si>
  <si>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</si>
  <si>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</si>
  <si>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</si>
  <si>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10/16/2025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</si>
  <si>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</si>
  <si>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</si>
  <si>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</si>
  <si>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</si>
  <si>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</si>
  <si>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</si>
  <si>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</si>
  <si>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</si>
  <si>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</si>
  <si>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</si>
  <si>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</si>
  <si>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</si>
  <si>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</si>
  <si>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</si>
  <si>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</si>
  <si>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</si>
  <si>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</si>
  <si>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</si>
  <si>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</si>
  <si>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</si>
  <si>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</si>
  <si>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</si>
  <si>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</si>
  <si>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</si>
  <si>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</si>
  <si>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RISK ANALYSIS BY LOCATION</t>
  </si>
  <si>
    <t>Count</t>
  </si>
  <si>
    <t>Avg Risk Score</t>
  </si>
  <si>
    <t>High Risk %</t>
  </si>
  <si>
    <t>Total Amount</t>
  </si>
  <si>
    <t>RISK ANALYSIS BY TIME OF DAY</t>
  </si>
  <si>
    <t>Hour</t>
  </si>
  <si>
    <t>High Risk Count</t>
  </si>
  <si>
    <t>MONTHLY HIGH-RISK TRANSACTION SUMMARY</t>
  </si>
  <si>
    <t>Month</t>
  </si>
  <si>
    <t>Transaction Count</t>
  </si>
  <si>
    <t>Critical Risk Count</t>
  </si>
  <si>
    <t>High Risk Amount</t>
  </si>
  <si>
    <t>10/2025</t>
  </si>
  <si>
    <t>FRAUD DETECTION RISK SCORER - USER GUIDE</t>
  </si>
  <si>
    <t>PROJECT OVERVIEW</t>
  </si>
  <si>
    <t>This workbook provides an automated fraud detection system that assigns risk scores to transactions</t>
  </si>
  <si>
    <t>based on multiple risk factors. The scoring algorithm evaluates transaction characteristics and flags</t>
  </si>
  <si>
    <t>potentially fraudulent activities for analyst review.</t>
  </si>
  <si>
    <t>RISK SCORING FORMULA</t>
  </si>
  <si>
    <t>The Risk Score (Column L) is calculated using nested IF/AND/OR logic:</t>
  </si>
  <si>
    <t>• 5 points: Amount &gt; $5000 AND Late Night (2-5 AM) AND High-Risk Country</t>
  </si>
  <si>
    <t>• 3 points: Amount &gt; $5000 AND High-Risk Country</t>
  </si>
  <si>
    <t>• 2 points: Late Night (2-5 AM) AND Amount &gt; $3000</t>
  </si>
  <si>
    <t>• 2 points: Prior High-Risk Transactions &gt;= 5</t>
  </si>
  <si>
    <t>• 1 point: Young Customer (Age &lt; 25) AND Amount &gt; $8000</t>
  </si>
  <si>
    <t>• 2 points: High-Risk Country AND Amount &gt; $3000</t>
  </si>
  <si>
    <t>RISK LEVELS</t>
  </si>
  <si>
    <t>LOW (Score 0-3) - Green highlighting: Normal transaction, approved</t>
  </si>
  <si>
    <t>MEDIUM (Score 4-6) - Yellow highlighting: Monitor for patterns, routine review</t>
  </si>
  <si>
    <t>HIGH (Score 7-9) - Orange highlighting: Enhanced review required, escalate if needed</t>
  </si>
  <si>
    <t>CRITICAL (Score 10+) - Red highlighting: Immediate investigation required, block if necessary</t>
  </si>
  <si>
    <t>KEY COLUMNS EXPLAINED</t>
  </si>
  <si>
    <t>Column H - High-Risk Country: Binary flag (1 = High-Risk, 0 = Normal)</t>
  </si>
  <si>
    <t>Column I - Late Night Flag: Binary flag (1 = 2-5 AM, 0 = Other)</t>
  </si>
  <si>
    <t>Column J - Amount Flag: Binary flag (1 = &gt;$5000, 0 = &lt;=5000)</t>
  </si>
  <si>
    <t>Column K - Prior Risk Flag: Binary flag (1 = &gt;=3 prior high-risk, 0 = &lt;3)</t>
  </si>
  <si>
    <t>Column L - Risk Score: Numerical score (0-15 range)</t>
  </si>
  <si>
    <t>Column M - Risk Level: Categorical assessment (LOW/MEDIUM/HIGH/CRITICAL)</t>
  </si>
  <si>
    <t>Row Labels</t>
  </si>
  <si>
    <t>Grand Total</t>
  </si>
  <si>
    <t>Sum of Risk Score</t>
  </si>
  <si>
    <t>Count of Risk Level</t>
  </si>
  <si>
    <t>Count of Transaction ID</t>
  </si>
  <si>
    <t>Sum of Amount</t>
  </si>
  <si>
    <t>Average of Risk Score</t>
  </si>
  <si>
    <t>Customer Age2</t>
  </si>
  <si>
    <t>High Risk Country</t>
  </si>
  <si>
    <t>HIGH</t>
  </si>
  <si>
    <t>CRITICAL</t>
  </si>
  <si>
    <t>In my Fraud Detection Risk Scorer project, I built an Excel-based model to identify potentially fraudulent transactions. I used logical formulas like IF and AND to assign a risk score based on conditions such as high transaction amounts or late night transactions or unusual activity. I then applied conditional formatting to highlight the risk levels and used pivot tables and charts to summarize the data. The end result was a dashboard that helps detect and visualize fraud patterns efficiently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</si>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</sst>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mm/dd/yyyy"/>
  </numFmts>
  <fonts count="12" x14ac:knownFonts="1">
    <font>
      <sz val="11"/>
      <color theme="1"/>
      <name val="Calibri"/>
      <family val="2"/>
      <scheme val="minor"/>
    </font>
    <font>
      <b/>
      <sz val="11"/>
      <color rgb="FFFFFFFF"/>
      <name val="Calibri"/>
      <family val="2"/>
    </font>
    <font>
      <b/>
      <sz val="12"/>
      <name val="Calibri"/>
      <family val="2"/>
    </font>
    <font>
      <b/>
      <sz val="16"/>
      <color rgb="FFFFFFFF"/>
      <name val="Calibri"/>
      <family val="2"/>
    </font>
    <font>
      <b/>
      <sz val="12"/>
      <color rgb="FF1F4E78"/>
      <name val="Calibri"/>
      <family val="2"/>
    </font>
    <font>
      <b/>
      <sz val="14"/>
      <name val="Calibri"/>
      <family val="2"/>
    </font>
    <font>
      <b/>
      <sz val="14"/>
      <color rgb="FFFF0000"/>
      <name val="Calibri"/>
      <family val="2"/>
    </font>
    <font>
      <b/>
      <sz val="14"/>
      <color rgb="FFFFC000"/>
      <name val="Calibri"/>
      <family val="2"/>
    </font>
    <font>
      <b/>
      <sz val="11"/>
      <color rgb="FF1F4E78"/>
      <name val="Calibri"/>
      <family val="2"/>
    </font>
    <font>
      <sz val="9"/>
      <name val="Calibri"/>
      <family val="2"/>
    </font>
    <font>
      <b/>
      <sz val="14"/>
      <color rgb="FF1F4E78"/>
      <name val="Calibri"/>
      <family val="2"/>
    </font>
    <font>
      <sz val="10"/>
      <color rgb="FF000000"/>
      <name val="Calibri"/>
      <family val="2"/>
    </font>
  </fonts>
  <fills count="5">
    <fill>
      <patternFill patternType="none"/>
    </fill>
    <fill>
      <patternFill patternType="gray125"/>
    </fill>
    <fill>
      <patternFill patternType="solid">
        <fgColor rgb="FF1F4E78"/>
        <bgColor rgb="FF1F4E78"/>
      </patternFill>
    </fill>
    <fill>
      <patternFill patternType="solid">
        <fgColor rgb="FFD9E8F5"/>
        <bgColor rgb="FFD9E8F5"/>
      </patternFill>
    </fill>
    <fill>
      <patternFill patternType="solid">
        <fgColor rgb="FFFFFFFF"/>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44">
    <xf numFmtId="0" fontId="0" fillId="0" borderId="0" xfId="0"/>
    <xf numFmtId="0" fontId="2" fillId="0" borderId="0" xfId="0" applyFont="1"/>
    <xf numFmtId="0" fontId="1" fillId="2" borderId="1" xfId="0" applyFont="1" applyFill="1" applyBorder="1"/>
    <xf numFmtId="0" fontId="0" fillId="0" borderId="1" xfId="0" applyBorder="1"/>
    <xf numFmtId="2" fontId="0" fillId="0" borderId="1" xfId="0" applyNumberFormat="1" applyBorder="1"/>
    <xf numFmtId="164" fontId="0" fillId="0" borderId="1" xfId="0" applyNumberFormat="1" applyBorder="1"/>
    <xf numFmtId="0" fontId="8" fillId="0" borderId="0" xfId="0" applyFont="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0" xfId="0" applyFont="1" applyAlignment="1">
      <alignment vertical="top" wrapText="1"/>
    </xf>
    <xf numFmtId="0" fontId="0" fillId="0" borderId="0" xfId="0" applyAlignment="1">
      <alignment horizontal="center"/>
    </xf>
    <xf numFmtId="0" fontId="0" fillId="0" borderId="0" xfId="0" applyAlignment="1">
      <alignment vertical="top"/>
    </xf>
    <xf numFmtId="0" fontId="1" fillId="2" borderId="2" xfId="0" applyFont="1" applyFill="1" applyBorder="1" applyAlignment="1">
      <alignment horizontal="center" vertical="top" wrapText="1"/>
    </xf>
    <xf numFmtId="0" fontId="0" fillId="0" borderId="0" xfId="0" applyAlignment="1">
      <alignment vertical="top" wrapText="1"/>
    </xf>
    <xf numFmtId="0" fontId="4" fillId="3" borderId="1" xfId="0" applyFont="1" applyFill="1" applyBorder="1" applyAlignment="1">
      <alignment vertical="top" wrapText="1"/>
    </xf>
    <xf numFmtId="0" fontId="0" fillId="0" borderId="0" xfId="0" applyAlignment="1">
      <alignment wrapText="1"/>
    </xf>
    <xf numFmtId="0" fontId="0" fillId="0" borderId="0" xfId="0" applyAlignment="1">
      <alignment vertical="center" wrapText="1"/>
    </xf>
    <xf numFmtId="0" fontId="0" fillId="0" borderId="1" xfId="0" pivotButton="1" applyBorder="1"/>
    <xf numFmtId="0" fontId="0" fillId="0" borderId="1" xfId="0" applyBorder="1" applyAlignment="1">
      <alignment horizontal="left"/>
    </xf>
    <xf numFmtId="1" fontId="0" fillId="0" borderId="1" xfId="0" applyNumberFormat="1" applyBorder="1" applyAlignment="1">
      <alignment horizontal="left" wrapText="1"/>
    </xf>
    <xf numFmtId="164" fontId="0" fillId="0" borderId="1" xfId="0" applyNumberFormat="1" applyBorder="1" applyAlignment="1">
      <alignment wrapText="1"/>
    </xf>
    <xf numFmtId="1" fontId="0" fillId="0" borderId="1" xfId="0" applyNumberFormat="1" applyBorder="1" applyAlignment="1">
      <alignment horizontal="left"/>
    </xf>
    <xf numFmtId="0" fontId="5" fillId="4" borderId="3"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2" fontId="5" fillId="4" borderId="3" xfId="0" applyNumberFormat="1" applyFont="1" applyFill="1" applyBorder="1" applyAlignment="1">
      <alignment horizontal="center"/>
    </xf>
    <xf numFmtId="164" fontId="5" fillId="4" borderId="3" xfId="0" applyNumberFormat="1" applyFont="1" applyFill="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1" fontId="0" fillId="0" borderId="1" xfId="0" applyNumberFormat="1" applyBorder="1"/>
    <xf numFmtId="0" fontId="0" fillId="0" borderId="1" xfId="0" applyBorder="1" applyAlignment="1">
      <alignment horizontal="left" wrapText="1"/>
    </xf>
    <xf numFmtId="1" fontId="0" fillId="0" borderId="1" xfId="0" applyNumberFormat="1" applyBorder="1" applyAlignment="1">
      <alignment wrapText="1"/>
    </xf>
    <xf numFmtId="0" fontId="0" fillId="0" borderId="1" xfId="0" applyBorder="1" applyAlignment="1">
      <alignment wrapText="1"/>
    </xf>
    <xf numFmtId="0" fontId="0" fillId="0" borderId="1" xfId="0" applyBorder="1" applyAlignment="1">
      <alignment horizont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3" xfId="0" applyNumberFormat="1" applyBorder="1"/>
    <xf numFmtId="0" fontId="3" fillId="0" borderId="0" xfId="0" applyFont="1" applyAlignment="1">
      <alignment horizontal="center" vertical="center"/>
    </xf>
    <xf numFmtId="0" fontId="0" fillId="0" borderId="0" xfId="0"/>
    <xf numFmtId="0" fontId="2" fillId="0" borderId="0" xfId="0" applyFont="1"/>
    <xf numFmtId="0" fontId="3" fillId="2" borderId="1" xfId="0" applyFont="1" applyFill="1" applyBorder="1" applyAlignment="1">
      <alignment horizontal="center" vertical="center"/>
    </xf>
    <xf numFmtId="0" fontId="3" fillId="2" borderId="4" xfId="0" applyFont="1" applyFill="1" applyBorder="1" applyAlignment="1">
      <alignment horizontal="center" vertical="center"/>
    </xf>
    <xf numFmtId="0" fontId="2" fillId="0" borderId="0" xfId="0" applyFont="1" applyAlignment="1">
      <alignment horizontal="center"/>
    </xf>
  </cellXfs>
  <cellStyles count="1">
    <cellStyle name="Normal" xfId="0" builtinId="0"/>
  </cellStyles>
  <dxfs count="72">
    <dxf>
      <font>
        <b/>
        <color rgb="FFFFFFFF"/>
      </font>
      <fill>
        <patternFill patternType="solid">
          <fgColor rgb="FF92D050"/>
          <bgColor rgb="FF92D050"/>
        </patternFill>
      </fill>
    </dxf>
    <dxf>
      <fill>
        <patternFill patternType="solid">
          <fgColor rgb="FFFFEB9C"/>
          <bgColor rgb="FFFFEB9C"/>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000000"/>
      </font>
      <fill>
        <patternFill patternType="solid">
          <fgColor rgb="FFFFC000"/>
          <bgColor rgb="FFFFC000"/>
        </patternFill>
      </fill>
    </dxf>
    <dxf>
      <fill>
        <patternFill patternType="solid">
          <fgColor rgb="FFFFE699"/>
          <bgColor rgb="FFFFE69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solid">
          <fgColor rgb="FF1F4E78"/>
          <bgColor rgb="FF1F4E78"/>
        </patternFill>
      </fill>
      <alignment horizontal="center" vertical="top" textRotation="0" wrapText="1" indent="0" justifyLastLine="0" shrinkToFit="0" readingOrder="0"/>
      <border diagonalUp="0" diagonalDown="0" outline="0">
        <left style="thin">
          <color auto="1"/>
        </left>
        <right style="thin">
          <color auto="1"/>
        </right>
        <top/>
        <bottom/>
      </border>
    </dxf>
    <dxf>
      <fill>
        <patternFill>
          <bgColor theme="0" tint="-0.14996795556505021"/>
        </patternFill>
      </fill>
    </dxf>
    <dxf>
      <fill>
        <patternFill>
          <bgColor theme="2" tint="-0.24994659260841701"/>
        </patternFill>
      </fill>
      <border diagonalUp="0" diagonalDown="0">
        <left style="thin">
          <color auto="1"/>
        </left>
        <right style="thin">
          <color auto="1"/>
        </right>
        <top style="thin">
          <color auto="1"/>
        </top>
        <bottom style="thin">
          <color auto="1"/>
        </bottom>
        <vertical/>
        <horizontal/>
      </border>
    </dxf>
  </dxfs>
  <tableStyles count="1" defaultTableStyle="TableStyleMedium9" defaultPivotStyle="PivotStyleLight16">
    <tableStyle name="Slicer Style 1" pivot="0" table="0" count="3" xr9:uid="{3D05E74B-F44C-41D4-90F9-CB5B2764186B}">
      <tableStyleElement type="wholeTable" dxfId="71"/>
      <tableStyleElement type="headerRow" dxfId="70"/>
    </tableStyle>
  </tableStyles>
  <colors>
    <mruColors>
      <color rgb="FFB3CA5E"/>
      <color rgb="FFE4C888"/>
    </mruColors>
  </colors>
  <extLst>
    <ext xmlns:x14="http://schemas.microsoft.com/office/spreadsheetml/2009/9/main" uri="{46F421CA-312F-682f-3DD2-61675219B42D}">
      <x14:dxfs count="1">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[Fraud_Detection_Risk_Scorer.xlsx]Chartdata!amt by risk score</c:name>
    <c:fmtId val="9"/>
  </c:pivotSource>
  <c:chart>
    <c:title>
      <c:tx>
        <c:rich>
          <a:bodyPr rot="0" spcFirstLastPara="1" vertOverflow="ellipsis" vert="horz" wrap="square" anchor="ctr" anchorCtr="1"/>
          <a:lstStyle/>
          <a:p>
            <a:pPr>
              <a:defRPr sz="1500" b="1" i="0" u="none" strike="noStrike" kern="1200" cap="all" spc="100" normalizeH="0" baseline="0">
                <a:solidFill>
                  <a:schemeClr val="tx1">
                    <a:lumMod val="75000"/>
                    <a:lumOff val="25000"/>
                  </a:schemeClr>
                </a:solidFill>
                <a:latin typeface="+mn-lt"/>
                <a:ea typeface="+mn-ea"/>
                <a:cs typeface="+mn-cs"/>
              </a:defRPr>
            </a:pPr>
            <a:r>
              <a:rPr lang="en-IN">
                <a:solidFill>
                  <a:schemeClr val="tx1">
                    <a:lumMod val="75000"/>
                    <a:lumOff val="25000"/>
                  </a:schemeClr>
                </a:solidFill>
              </a:rPr>
              <a:t>Transaction Amount vs Risk Score</a:t>
            </a:r>
          </a:p>
        </c:rich>
      </c:tx>
      <c:layout>
        <c:manualLayout>
          <c:xMode val="edge"/>
          <c:yMode val="edge"/>
          <c:x val="0.13210575635876839"/>
          <c:y val="1.837936507936507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Chartdata!$B$20</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Chartdata!$A$21:$A$31</c:f>
              <c:strCache>
                <c:ptCount val="10"/>
                <c:pt idx="0">
                  <c:v>0</c:v>
                </c:pt>
                <c:pt idx="1">
                  <c:v>1</c:v>
                </c:pt>
                <c:pt idx="2">
                  <c:v>2</c:v>
                </c:pt>
                <c:pt idx="3">
                  <c:v>3</c:v>
                </c:pt>
                <c:pt idx="4">
                  <c:v>4</c:v>
                </c:pt>
                <c:pt idx="5">
                  <c:v>5</c:v>
                </c:pt>
                <c:pt idx="6">
                  <c:v>6</c:v>
                </c:pt>
                <c:pt idx="7">
                  <c:v>7</c:v>
                </c:pt>
                <c:pt idx="8">
                  <c:v>12</c:v>
                </c:pt>
                <c:pt idx="9">
                  <c:v>14</c:v>
                </c:pt>
              </c:strCache>
            </c:strRef>
          </c:cat>
          <c:val>
            <c:numRef>
              <c:f>Chartdata!$B$21:$B$31</c:f>
              <c:numCache>
                <c:formatCode>\$#,##0.00</c:formatCode>
                <c:ptCount val="10"/>
                <c:pt idx="0">
                  <c:v>246754.11000000002</c:v>
                </c:pt>
                <c:pt idx="1">
                  <c:v>13644.34</c:v>
                </c:pt>
                <c:pt idx="2">
                  <c:v>340138.5</c:v>
                </c:pt>
                <c:pt idx="3">
                  <c:v>8988.6</c:v>
                </c:pt>
                <c:pt idx="4">
                  <c:v>92635.15</c:v>
                </c:pt>
                <c:pt idx="5">
                  <c:v>216925.97999999998</c:v>
                </c:pt>
                <c:pt idx="6">
                  <c:v>3457.63</c:v>
                </c:pt>
                <c:pt idx="7">
                  <c:v>77865.319999999992</c:v>
                </c:pt>
                <c:pt idx="8">
                  <c:v>43838.89</c:v>
                </c:pt>
                <c:pt idx="9">
                  <c:v>23700.91</c:v>
                </c:pt>
              </c:numCache>
            </c:numRef>
          </c:val>
          <c:smooth val="0"/>
          <c:extLst>
            <c:ext xmlns:c16="http://schemas.microsoft.com/office/drawing/2014/chart" uri="{C3380CC4-5D6E-409C-BE32-E72D297353CC}">
              <c16:uniqueId val="{00000000-40D3-4AD8-A696-21D5302B853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14727696"/>
        <c:axId val="414728656"/>
      </c:lineChart>
      <c:catAx>
        <c:axId val="4147276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14728656"/>
        <c:crosses val="autoZero"/>
        <c:auto val="1"/>
        <c:lblAlgn val="ctr"/>
        <c:lblOffset val="100"/>
        <c:noMultiLvlLbl val="0"/>
      </c:catAx>
      <c:valAx>
        <c:axId val="414728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4727696"/>
        <c:crosses val="autoZero"/>
        <c:crossBetween val="between"/>
      </c:valAx>
      <c:spPr>
        <a:noFill/>
        <a:ln>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[Fraud_Detection_Risk_Scorer.xlsx]Chartdata!Risk level</c:name>
    <c:fmtId val="7"/>
  </c:pivotSource>
  <c:chart>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Baskerville Old Face" panose="02020602080505020303" pitchFamily="18" charset="0"/>
                <a:ea typeface="+mn-ea"/>
                <a:cs typeface="+mn-cs"/>
              </a:defRPr>
            </a:pPr>
            <a:r>
              <a:rPr lang="en-US" sz="1400" b="1" i="1" u="none">
                <a:solidFill>
                  <a:schemeClr val="tx1"/>
                </a:solidFill>
                <a:latin typeface="Baskerville Old Face" panose="02020602080505020303" pitchFamily="18" charset="0"/>
              </a:rPr>
              <a:t>Risk</a:t>
            </a:r>
            <a:r>
              <a:rPr lang="en-US" sz="1400" b="1" i="1" u="none" baseline="0">
                <a:solidFill>
                  <a:schemeClr val="tx1"/>
                </a:solidFill>
                <a:latin typeface="Baskerville Old Face" panose="02020602080505020303" pitchFamily="18" charset="0"/>
              </a:rPr>
              <a:t> Distribution </a:t>
            </a:r>
            <a:endParaRPr lang="en-US" sz="1400" b="1" i="1" u="none">
              <a:solidFill>
                <a:schemeClr val="tx1"/>
              </a:solidFill>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Baskerville Old Face" panose="02020602080505020303" pitchFamily="18"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73000">
                <a:schemeClr val="accent2">
                  <a:lumMod val="0"/>
                  <a:lumOff val="100000"/>
                </a:schemeClr>
              </a:gs>
              <a:gs pos="89000">
                <a:srgbClr val="00B050"/>
              </a:gs>
              <a:gs pos="23000">
                <a:schemeClr val="accent2">
                  <a:lumMod val="0"/>
                  <a:lumOff val="100000"/>
                </a:schemeClr>
              </a:gs>
              <a:gs pos="63000">
                <a:srgbClr val="00B050"/>
              </a:gs>
              <a:gs pos="42000">
                <a:srgbClr val="00B050"/>
              </a:gs>
              <a:gs pos="0">
                <a:srgbClr val="00B050"/>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flip="none" rotWithShape="1">
            <a:gsLst>
              <a:gs pos="0">
                <a:srgbClr val="68B9CF"/>
              </a:gs>
              <a:gs pos="20000">
                <a:schemeClr val="accent5">
                  <a:lumMod val="0"/>
                  <a:lumOff val="100000"/>
                </a:schemeClr>
              </a:gs>
              <a:gs pos="60000">
                <a:srgbClr val="79C1D5"/>
              </a:gs>
              <a:gs pos="31000">
                <a:srgbClr val="79C1D5"/>
              </a:gs>
              <a:gs pos="51000">
                <a:schemeClr val="accent5">
                  <a:lumMod val="0"/>
                  <a:lumOff val="100000"/>
                </a:schemeClr>
              </a:gs>
              <a:gs pos="100000">
                <a:schemeClr val="accent5">
                  <a:lumMod val="100000"/>
                </a:schemeClr>
              </a:gs>
            </a:gsLst>
            <a:lin ang="1800000" scaled="0"/>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73000">
                <a:schemeClr val="accent2">
                  <a:lumMod val="0"/>
                  <a:lumOff val="100000"/>
                </a:schemeClr>
              </a:gs>
              <a:gs pos="89000">
                <a:schemeClr val="accent6">
                  <a:lumMod val="75000"/>
                </a:schemeClr>
              </a:gs>
              <a:gs pos="23000">
                <a:schemeClr val="accent2">
                  <a:lumMod val="0"/>
                  <a:lumOff val="100000"/>
                </a:schemeClr>
              </a:gs>
              <a:gs pos="63000">
                <a:schemeClr val="accent6">
                  <a:lumMod val="75000"/>
                </a:schemeClr>
              </a:gs>
              <a:gs pos="42000">
                <a:schemeClr val="accent6">
                  <a:lumMod val="75000"/>
                </a:schemeClr>
              </a:gs>
              <a:gs pos="0">
                <a:schemeClr val="accent6">
                  <a:lumMod val="75000"/>
                </a:schemeClr>
              </a:gs>
            </a:gsLst>
            <a:lin ang="27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73000">
                <a:schemeClr val="accent2">
                  <a:lumMod val="0"/>
                  <a:lumOff val="100000"/>
                </a:schemeClr>
              </a:gs>
              <a:gs pos="89000">
                <a:srgbClr val="7030A0"/>
              </a:gs>
              <a:gs pos="23000">
                <a:schemeClr val="bg1"/>
              </a:gs>
              <a:gs pos="42000">
                <a:srgbClr val="7030A0"/>
              </a:gs>
              <a:gs pos="0">
                <a:srgbClr val="7030A0"/>
              </a:gs>
            </a:gsLst>
            <a:lin ang="27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73000">
                <a:schemeClr val="accent2">
                  <a:lumMod val="0"/>
                  <a:lumOff val="100000"/>
                </a:schemeClr>
              </a:gs>
              <a:gs pos="89000">
                <a:srgbClr val="7030A0"/>
              </a:gs>
              <a:gs pos="23000">
                <a:schemeClr val="bg1"/>
              </a:gs>
              <a:gs pos="42000">
                <a:srgbClr val="7030A0"/>
              </a:gs>
              <a:gs pos="0">
                <a:srgbClr val="7030A0"/>
              </a:gs>
            </a:gsLst>
            <a:lin ang="27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73000">
                <a:schemeClr val="accent2">
                  <a:lumMod val="0"/>
                  <a:lumOff val="100000"/>
                </a:schemeClr>
              </a:gs>
              <a:gs pos="89000">
                <a:schemeClr val="accent6">
                  <a:lumMod val="75000"/>
                </a:schemeClr>
              </a:gs>
              <a:gs pos="23000">
                <a:schemeClr val="accent2">
                  <a:lumMod val="0"/>
                  <a:lumOff val="100000"/>
                </a:schemeClr>
              </a:gs>
              <a:gs pos="63000">
                <a:schemeClr val="accent6">
                  <a:lumMod val="75000"/>
                </a:schemeClr>
              </a:gs>
              <a:gs pos="42000">
                <a:schemeClr val="accent6">
                  <a:lumMod val="75000"/>
                </a:schemeClr>
              </a:gs>
              <a:gs pos="0">
                <a:schemeClr val="accent6">
                  <a:lumMod val="75000"/>
                </a:schemeClr>
              </a:gs>
            </a:gsLst>
            <a:lin ang="2700000" scaled="1"/>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flip="none" rotWithShape="1">
            <a:gsLst>
              <a:gs pos="73000">
                <a:schemeClr val="accent2">
                  <a:lumMod val="0"/>
                  <a:lumOff val="100000"/>
                </a:schemeClr>
              </a:gs>
              <a:gs pos="89000">
                <a:srgbClr val="00B050"/>
              </a:gs>
              <a:gs pos="23000">
                <a:schemeClr val="accent2">
                  <a:lumMod val="0"/>
                  <a:lumOff val="100000"/>
                </a:schemeClr>
              </a:gs>
              <a:gs pos="63000">
                <a:srgbClr val="00B050"/>
              </a:gs>
              <a:gs pos="42000">
                <a:srgbClr val="00B050"/>
              </a:gs>
              <a:gs pos="0">
                <a:srgbClr val="00B050"/>
              </a:gs>
            </a:gsLst>
            <a:lin ang="27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flip="none" rotWithShape="1">
            <a:gsLst>
              <a:gs pos="0">
                <a:srgbClr val="68B9CF"/>
              </a:gs>
              <a:gs pos="20000">
                <a:schemeClr val="accent5">
                  <a:lumMod val="0"/>
                  <a:lumOff val="100000"/>
                </a:schemeClr>
              </a:gs>
              <a:gs pos="60000">
                <a:srgbClr val="79C1D5"/>
              </a:gs>
              <a:gs pos="31000">
                <a:srgbClr val="79C1D5"/>
              </a:gs>
              <a:gs pos="51000">
                <a:schemeClr val="accent5">
                  <a:lumMod val="0"/>
                  <a:lumOff val="100000"/>
                </a:schemeClr>
              </a:gs>
              <a:gs pos="100000">
                <a:schemeClr val="accent5">
                  <a:lumMod val="100000"/>
                </a:schemeClr>
              </a:gs>
            </a:gsLst>
            <a:lin ang="1800000" scaled="0"/>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3387204007285977"/>
          <c:y val="0.16527615861935727"/>
          <c:w val="0.68309303029207424"/>
          <c:h val="0.73195147401329319"/>
        </c:manualLayout>
      </c:layout>
      <c:pieChart>
        <c:varyColors val="1"/>
        <c:ser>
          <c:idx val="0"/>
          <c:order val="0"/>
          <c:tx>
            <c:strRef>
              <c:f>Chartdata!$E$22</c:f>
              <c:strCache>
                <c:ptCount val="1"/>
                <c:pt idx="0">
                  <c:v>Total</c:v>
                </c:pt>
              </c:strCache>
            </c:strRef>
          </c:tx>
          <c:dPt>
            <c:idx val="0"/>
            <c:bubble3D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1D-493C-B085-526AE07017AE}"/>
              </c:ext>
            </c:extLst>
          </c:dPt>
          <c:dPt>
            <c:idx val="1"/>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1D-493C-B085-526AE07017AE}"/>
              </c:ext>
            </c:extLst>
          </c:dPt>
          <c:dPt>
            <c:idx val="2"/>
            <c:bubble3D val="0"/>
            <c:spPr>
              <a:solidFill>
                <a:schemeClr val="accent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1D-493C-B085-526AE07017AE}"/>
              </c:ext>
            </c:extLst>
          </c:dPt>
          <c:dPt>
            <c:idx val="3"/>
            <c:bubble3D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21D-493C-B085-526AE07017AE}"/>
              </c:ext>
            </c:extLst>
          </c:dPt>
          <c:cat>
            <c:strRef>
              <c:f>Chartdata!$D$23:$D$27</c:f>
              <c:strCache>
                <c:ptCount val="4"/>
                <c:pt idx="0">
                  <c:v>CRITICAL</c:v>
                </c:pt>
                <c:pt idx="1">
                  <c:v>HIGH</c:v>
                </c:pt>
                <c:pt idx="2">
                  <c:v>LOW</c:v>
                </c:pt>
                <c:pt idx="3">
                  <c:v>MEDIUM</c:v>
                </c:pt>
              </c:strCache>
            </c:strRef>
          </c:cat>
          <c:val>
            <c:numRef>
              <c:f>Chartdata!$E$23:$E$27</c:f>
              <c:numCache>
                <c:formatCode>General</c:formatCode>
                <c:ptCount val="4"/>
                <c:pt idx="0">
                  <c:v>7</c:v>
                </c:pt>
                <c:pt idx="1">
                  <c:v>7</c:v>
                </c:pt>
                <c:pt idx="2">
                  <c:v>99</c:v>
                </c:pt>
                <c:pt idx="3">
                  <c:v>37</c:v>
                </c:pt>
              </c:numCache>
            </c:numRef>
          </c:val>
          <c:extLst>
            <c:ext xmlns:c16="http://schemas.microsoft.com/office/drawing/2014/chart" uri="{C3380CC4-5D6E-409C-BE32-E72D297353CC}">
              <c16:uniqueId val="{00000008-521D-493C-B085-526AE07017A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6.4800505050505053E-2"/>
          <c:y val="0.89519696969696971"/>
          <c:w val="0.89044318181818183"/>
          <c:h val="7.731385281385280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_xlchart.v1.1</cx:f>
      </cx:numDim>
    </cx:data>
    <cx:data id="1">
      <cx:strDim type="cat">
        <cx:f>_xlchart.v1.5</cx:f>
      </cx:strDim>
      <cx:numDim type="val">
        <cx:f>_xlchart.v1.3</cx:f>
      </cx:numDim>
    </cx:data>
    <cx:data id="2">
      <cx:strDim type="cat">
        <cx:f>_xlchart.v1.5</cx:f>
      </cx:strDim>
      <cx:numDim type="val">
        <cx:f>_xlchart.v1.6</cx:f>
      </cx:numDim>
    </cx:data>
    <cx:data id="3">
      <cx:strDim type="cat">
        <cx:f>_xlchart.v1.5</cx:f>
      </cx:strDim>
      <cx:numDim type="val">
        <cx:f>_xlchart.v1.24</cx:f>
      </cx:numDim>
    </cx:data>
    <cx:data id="4">
      <cx:strDim type="cat">
        <cx:f>_xlchart.v1.5</cx:f>
      </cx:strDim>
      <cx:numDim type="val">
        <cx:f>_xlchart.v1.8</cx:f>
      </cx:numDim>
    </cx:data>
    <cx:data id="5">
      <cx:strDim type="cat">
        <cx:f>_xlchart.v1.5</cx:f>
      </cx:strDim>
      <cx:numDim type="val">
        <cx:f>_xlchart.v1.10</cx:f>
      </cx:numDim>
    </cx:data>
    <cx:data id="6">
      <cx:strDim type="cat">
        <cx:f>_xlchart.v1.5</cx:f>
      </cx:strDim>
      <cx:numDim type="val">
        <cx:f>_xlchart.v1.12</cx:f>
      </cx:numDim>
    </cx:data>
    <cx:data id="7">
      <cx:strDim type="cat">
        <cx:f>_xlchart.v1.5</cx:f>
      </cx:strDim>
      <cx:numDim type="val">
        <cx:f>_xlchart.v1.14</cx:f>
      </cx:numDim>
    </cx:data>
    <cx:data id="8">
      <cx:strDim type="cat">
        <cx:f>_xlchart.v1.5</cx:f>
      </cx:strDim>
      <cx:numDim type="val">
        <cx:f>_xlchart.v1.16</cx:f>
      </cx:numDim>
    </cx:data>
    <cx:data id="9">
      <cx:strDim type="cat">
        <cx:f>_xlchart.v1.5</cx:f>
      </cx:strDim>
      <cx:numDim type="val">
        <cx:f>_xlchart.v1.18</cx:f>
      </cx:numDim>
    </cx:data>
    <cx:data id="10">
      <cx:strDim type="cat">
        <cx:f>_xlchart.v1.5</cx:f>
      </cx:strDim>
      <cx:numDim type="val">
        <cx:f>_xlchart.v1.20</cx:f>
      </cx:numDim>
    </cx:data>
    <cx:data id="11">
      <cx:strDim type="cat">
        <cx:f>_xlchart.v1.5</cx:f>
      </cx:strDim>
      <cx:numDim type="val">
        <cx:f>_xlchart.v1.22</cx:f>
      </cx:numDim>
    </cx:data>
  </cx:chartData>
  <cx:chart>
    <cx:title pos="t" align="ctr" overlay="0">
      <cx:tx>
        <cx:rich>
          <a:bodyPr spcFirstLastPara="1" vertOverflow="ellipsis" horzOverflow="overflow" wrap="square" lIns="0" tIns="0" rIns="0" bIns="0" anchor="ctr" anchorCtr="1"/>
          <a:lstStyle/>
          <a:p>
            <a:pPr algn="ctr" rtl="0">
              <a:defRPr sz="1050" b="1" i="1" u="none">
                <a:ln w="0" cmpd="dbl">
                  <a:solidFill>
                    <a:schemeClr val="tx1"/>
                  </a:solidFill>
                </a:ln>
                <a:solidFill>
                  <a:schemeClr val="tx1"/>
                </a:solidFill>
                <a:latin typeface="Baskerville Old Face" panose="02020602080505020303" pitchFamily="18" charset="0"/>
                <a:ea typeface="Baskerville Old Face" panose="02020602080505020303" pitchFamily="18" charset="0"/>
                <a:cs typeface="Baskerville Old Face" panose="02020602080505020303" pitchFamily="18" charset="0"/>
              </a:defRPr>
            </a:pPr>
            <a:r>
              <a:rPr lang="en-US" sz="1050" b="1" i="1" u="none" strike="noStrike" cap="all" spc="100" baseline="0">
                <a:ln w="0" cmpd="dbl">
                  <a:solidFill>
                    <a:schemeClr val="tx1"/>
                  </a:solidFill>
                </a:ln>
                <a:solidFill>
                  <a:schemeClr val="tx1"/>
                </a:solidFill>
                <a:latin typeface="Baskerville Old Face" panose="02020602080505020303" pitchFamily="18" charset="0"/>
              </a:rPr>
              <a:t>Country-wise transaction</a:t>
            </a:r>
            <a:endParaRPr lang="en-US" sz="1050" b="1" i="1" u="none" strike="noStrike" cap="all" spc="100" baseline="0">
              <a:ln w="0" cmpd="dbl">
                <a:noFill/>
              </a:ln>
              <a:noFill/>
              <a:latin typeface="Baskerville Old Face" panose="02020602080505020303" pitchFamily="18" charset="0"/>
            </a:endParaRPr>
          </a:p>
        </cx:rich>
      </cx:tx>
    </cx:title>
    <cx:plotArea>
      <cx:plotAreaRegion>
        <cx:series layoutId="clusteredColumn" uniqueId="{DE21297A-4411-48B7-A9D6-3E91DECC7DCF}" formatIdx="0">
          <cx:tx>
            <cx:txData>
              <cx:f>_xlchart.v1.0</cx:f>
              <cx:v>Amount</cx:v>
            </cx:txData>
          </cx:tx>
          <cx:spPr>
            <a:solidFill>
              <a:schemeClr val="tx1">
                <a:lumMod val="65000"/>
                <a:lumOff val="35000"/>
              </a:schemeClr>
            </a:solidFill>
            <a:ln w="22225" cap="rnd" cmpd="tri">
              <a:solidFill>
                <a:srgbClr val="002060"/>
              </a:solidFill>
              <a:bevel/>
            </a:ln>
            <a:effectLst>
              <a:outerShdw blurRad="50800" dist="38100" dir="5400000" algn="t" rotWithShape="0">
                <a:prstClr val="black">
                  <a:alpha val="40000"/>
                </a:prstClr>
              </a:outerShdw>
            </a:effectLst>
          </cx:spPr>
          <cx:dataId val="0"/>
          <cx:layoutPr>
            <cx:aggregation/>
          </cx:layoutPr>
          <cx:axisId val="1"/>
        </cx:series>
        <cx:series layoutId="paretoLine" ownerIdx="0" uniqueId="{038110CB-34A4-4D61-A6EB-2689E48F2B41}" formatIdx="1">
          <cx:spPr>
            <a:ln w="19050">
              <a:solidFill>
                <a:schemeClr val="bg1">
                  <a:lumMod val="95000"/>
                </a:schemeClr>
              </a:solidFill>
            </a:ln>
          </cx:spPr>
          <cx:axisId val="2"/>
        </cx:series>
        <cx:series layoutId="clusteredColumn" hidden="1" uniqueId="{016B6E1B-291D-4C37-82A7-1B7031696ED6}" formatIdx="2">
          <cx:tx>
            <cx:txData>
              <cx:f>_xlchart.v1.2</cx:f>
              <cx:v>Hour of Day</cx:v>
            </cx:txData>
          </cx:tx>
          <cx:dataId val="1"/>
          <cx:layoutPr>
            <cx:aggregation/>
          </cx:layoutPr>
          <cx:axisId val="1"/>
        </cx:series>
        <cx:series layoutId="paretoLine" ownerIdx="2" uniqueId="{4AD13B9F-C619-4260-850C-B281F33CB5FB}" formatIdx="3">
          <cx:axisId val="2"/>
        </cx:series>
        <cx:series layoutId="clusteredColumn" hidden="1" uniqueId="{AF7D32E4-08AE-4A41-A36C-5DDEE26FC62F}" formatIdx="4">
          <cx:tx>
            <cx:txData>
              <cx:f>_xlchart.v1.4</cx:f>
              <cx:v>Country</cx:v>
            </cx:txData>
          </cx:tx>
          <cx:dataId val="2"/>
          <cx:layoutPr>
            <cx:aggregation/>
          </cx:layoutPr>
          <cx:axisId val="1"/>
        </cx:series>
        <cx:series layoutId="paretoLine" ownerIdx="4" uniqueId="{92A7CA4E-7FCE-4AAD-9840-D9BA416CED37}" formatIdx="5">
          <cx:axisId val="2"/>
        </cx:series>
        <cx:series layoutId="clusteredColumn" hidden="1" uniqueId="{15ABE21F-1BAF-447F-9D95-269C04711DC3}" formatIdx="6">
          <cx:tx>
            <cx:txData>
              <cx:f>_xlchart.v1.23</cx:f>
              <cx:v>Customer Age</cx:v>
            </cx:txData>
          </cx:tx>
          <cx:dataId val="3"/>
          <cx:layoutPr>
            <cx:aggregation/>
          </cx:layoutPr>
          <cx:axisId val="1"/>
        </cx:series>
        <cx:series layoutId="paretoLine" ownerIdx="6" uniqueId="{13907A28-075C-40B2-9C3E-59E44B8F5028}" formatIdx="7">
          <cx:axisId val="2"/>
        </cx:series>
        <cx:series layoutId="clusteredColumn" hidden="1" uniqueId="{9E5A1CC3-B023-45D8-9859-FAE7A58FBD51}" formatIdx="8">
          <cx:tx>
            <cx:txData>
              <cx:f>_xlchart.v1.7</cx:f>
              <cx:v>Prior High-Risk Transactions</cx:v>
            </cx:txData>
          </cx:tx>
          <cx:dataId val="4"/>
          <cx:layoutPr>
            <cx:aggregation/>
          </cx:layoutPr>
          <cx:axisId val="1"/>
        </cx:series>
        <cx:series layoutId="paretoLine" ownerIdx="8" uniqueId="{EC9B79BF-745D-4562-B896-F449B21B5363}" formatIdx="9">
          <cx:axisId val="2"/>
        </cx:series>
        <cx:series layoutId="clusteredColumn" hidden="1" uniqueId="{F210451A-FFC5-41C1-B3C2-08A972D16FF4}" formatIdx="10">
          <cx:tx>
            <cx:txData>
              <cx:f>_xlchart.v1.9</cx:f>
              <cx:v>Transaction Date</cx:v>
            </cx:txData>
          </cx:tx>
          <cx:dataId val="5"/>
          <cx:layoutPr>
            <cx:aggregation/>
          </cx:layoutPr>
          <cx:axisId val="1"/>
        </cx:series>
        <cx:series layoutId="paretoLine" ownerIdx="10" uniqueId="{C7FAE005-0F7D-4D7F-8975-49ABE907E3C2}" formatIdx="11">
          <cx:axisId val="2"/>
        </cx:series>
        <cx:series layoutId="clusteredColumn" hidden="1" uniqueId="{241F8D1F-AD36-4ACC-98B4-4F606C13602C}" formatIdx="12">
          <cx:tx>
            <cx:txData>
              <cx:f>_xlchart.v1.11</cx:f>
              <cx:v>High-Risk Country</cx:v>
            </cx:txData>
          </cx:tx>
          <cx:dataId val="6"/>
          <cx:layoutPr>
            <cx:aggregation/>
          </cx:layoutPr>
          <cx:axisId val="1"/>
        </cx:series>
        <cx:series layoutId="paretoLine" ownerIdx="12" uniqueId="{EE226F3A-3F36-40E9-966C-073074DF6112}" formatIdx="13">
          <cx:axisId val="2"/>
        </cx:series>
        <cx:series layoutId="clusteredColumn" hidden="1" uniqueId="{76960DAD-F30E-4B9F-A24A-65A423FC02D1}" formatIdx="14">
          <cx:tx>
            <cx:txData>
              <cx:f>_xlchart.v1.13</cx:f>
              <cx:v>Late Night Flag</cx:v>
            </cx:txData>
          </cx:tx>
          <cx:dataId val="7"/>
          <cx:layoutPr>
            <cx:aggregation/>
          </cx:layoutPr>
          <cx:axisId val="1"/>
        </cx:series>
        <cx:series layoutId="paretoLine" ownerIdx="14" uniqueId="{E07160D3-87D6-4D48-8683-01DB199FC814}" formatIdx="15">
          <cx:axisId val="2"/>
        </cx:series>
        <cx:series layoutId="clusteredColumn" hidden="1" uniqueId="{20140C35-CB7B-49DC-BAF2-9FF39F8AC1B4}" formatIdx="16">
          <cx:tx>
            <cx:txData>
              <cx:f>_xlchart.v1.15</cx:f>
              <cx:v>Amount Flag</cx:v>
            </cx:txData>
          </cx:tx>
          <cx:dataId val="8"/>
          <cx:layoutPr>
            <cx:aggregation/>
          </cx:layoutPr>
          <cx:axisId val="1"/>
        </cx:series>
        <cx:series layoutId="paretoLine" ownerIdx="16" uniqueId="{66121B16-BADC-40EA-8472-AAA1CD0B5A9E}" formatIdx="17">
          <cx:axisId val="2"/>
        </cx:series>
        <cx:series layoutId="clusteredColumn" hidden="1" uniqueId="{7B9F5128-9CCE-4E89-AF45-5FD30E610DB0}" formatIdx="18">
          <cx:tx>
            <cx:txData>
              <cx:f>_xlchart.v1.17</cx:f>
              <cx:v>Prior Risk Flag</cx:v>
            </cx:txData>
          </cx:tx>
          <cx:dataId val="9"/>
          <cx:layoutPr>
            <cx:aggregation/>
          </cx:layoutPr>
          <cx:axisId val="1"/>
        </cx:series>
        <cx:series layoutId="paretoLine" ownerIdx="18" uniqueId="{AA4ADE2F-C86E-4D2B-914D-9944F393698A}" formatIdx="19">
          <cx:axisId val="2"/>
        </cx:series>
        <cx:series layoutId="clusteredColumn" hidden="1" uniqueId="{052ED09F-0182-4BDF-88BA-CFE650ABFE2C}" formatIdx="20">
          <cx:tx>
            <cx:txData>
              <cx:f>_xlchart.v1.19</cx:f>
              <cx:v>Risk Score</cx:v>
            </cx:txData>
          </cx:tx>
          <cx:dataId val="10"/>
          <cx:layoutPr>
            <cx:aggregation/>
          </cx:layoutPr>
          <cx:axisId val="1"/>
        </cx:series>
        <cx:series layoutId="paretoLine" ownerIdx="20" uniqueId="{BCFF17DE-1D7B-4ED4-96E7-684168113DC1}" formatIdx="21">
          <cx:axisId val="2"/>
        </cx:series>
        <cx:series layoutId="clusteredColumn" hidden="1" uniqueId="{C39CB3B1-BB79-411D-8792-DB5960C97C06}" formatIdx="22">
          <cx:tx>
            <cx:txData>
              <cx:f>_xlchart.v1.21</cx:f>
              <cx:v>Risk Level</cx:v>
            </cx:txData>
          </cx:tx>
          <cx:dataId val="11"/>
          <cx:layoutPr>
            <cx:aggregation/>
          </cx:layoutPr>
          <cx:axisId val="1"/>
        </cx:series>
        <cx:series layoutId="paretoLine" ownerIdx="22" uniqueId="{FE21ED3C-5722-45CE-A8EE-76C306E1155A}" formatIdx="2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lumMod val="85000"/>
                  </a:schemeClr>
                </a:solidFill>
              </a:defRPr>
            </a:pPr>
            <a:endParaRPr lang="en-US" sz="800" b="1" i="0" u="none" strike="noStrike" baseline="0">
              <a:solidFill>
                <a:schemeClr val="bg1">
                  <a:lumMod val="85000"/>
                </a:schemeClr>
              </a:solidFill>
              <a:latin typeface="Calibri"/>
            </a:endParaRPr>
          </a:p>
        </cx:txPr>
      </cx:axis>
      <cx:axis id="1">
        <cx:valScaling/>
        <cx:tickLabels/>
        <cx:spPr>
          <a:effectLst>
            <a:outerShdw blurRad="50800" dist="50800" dir="5400000" algn="ctr" rotWithShape="0">
              <a:schemeClr val="tx1"/>
            </a:outerShdw>
          </a:effectLst>
        </cx:spPr>
        <cx:txPr>
          <a:bodyPr spcFirstLastPara="1" vertOverflow="ellipsis" horzOverflow="overflow" wrap="square" lIns="0" tIns="0" rIns="0" bIns="0" anchor="ctr" anchorCtr="1"/>
          <a:lstStyle/>
          <a:p>
            <a:pPr algn="ctr" rtl="0">
              <a:defRPr b="1">
                <a:ln>
                  <a:noFill/>
                </a:ln>
                <a:solidFill>
                  <a:schemeClr val="tx1"/>
                </a:solidFill>
              </a:defRPr>
            </a:pPr>
            <a:endParaRPr lang="en-US" sz="800" b="1" i="0" u="none" strike="noStrike" baseline="0">
              <a:ln>
                <a:noFill/>
              </a:ln>
              <a:solidFill>
                <a:schemeClr val="tx1"/>
              </a:solidFill>
              <a:latin typeface="Calibri"/>
            </a:endParaRPr>
          </a:p>
        </cx:txPr>
      </cx:axis>
      <cx:axis id="2">
        <cx:valScaling max="1" min="0"/>
        <cx:units unit="percentage"/>
        <cx:tickLabels/>
        <cx:spPr>
          <a:effectLst>
            <a:outerShdw blurRad="50800" dist="50800" dir="5400000" algn="ctr" rotWithShape="0">
              <a:schemeClr val="tx1"/>
            </a:outerShdw>
          </a:effectLst>
        </cx:spPr>
        <cx:txPr>
          <a:bodyPr spcFirstLastPara="1" vertOverflow="ellipsis" horzOverflow="overflow" wrap="square" lIns="0" tIns="0" rIns="0" bIns="0" anchor="ctr" anchorCtr="1"/>
          <a:lstStyle/>
          <a:p>
            <a:pPr algn="ctr" rtl="0">
              <a:defRPr b="1">
                <a:solidFill>
                  <a:schemeClr val="bg1">
                    <a:lumMod val="85000"/>
                  </a:schemeClr>
                </a:solidFill>
              </a:defRPr>
            </a:pPr>
            <a:endParaRPr lang="en-US" sz="800" b="1" i="0" u="none" strike="noStrike" baseline="0">
              <a:solidFill>
                <a:schemeClr val="bg1">
                  <a:lumMod val="85000"/>
                </a:schemeClr>
              </a:solidFill>
              <a:latin typeface="Calibri"/>
            </a:endParaRPr>
          </a:p>
        </cx:txPr>
      </cx:axis>
    </cx:plotArea>
  </cx:chart>
  <cx:spPr>
    <a:solidFill>
      <a:schemeClr val="bg2">
        <a:lumMod val="50000"/>
      </a:schemeClr>
    </a:solidFill>
    <a:ln w="9525">
      <a:solidFill>
        <a:schemeClr val="bg1"/>
      </a:solidFill>
    </a:ln>
    <a:effectLst>
      <a:softEdge rad="12700"/>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Chartdata!A1"/><Relationship Id="rId11" Type="http://schemas.openxmlformats.org/officeDocument/2006/relationships/image" Target="../media/image5.png"/><Relationship Id="rId5" Type="http://schemas.openxmlformats.org/officeDocument/2006/relationships/hyperlink" Target="#'Monthly Summary'!A1"/><Relationship Id="rId10" Type="http://schemas.openxmlformats.org/officeDocument/2006/relationships/image" Target="../media/image4.svg"/><Relationship Id="rId4" Type="http://schemas.openxmlformats.org/officeDocument/2006/relationships/hyperlink" Target="#'Analysis - Location &amp; Time'!A1"/><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xdr:col>
      <xdr:colOff>82714</xdr:colOff>
      <xdr:row>1</xdr:row>
      <xdr:rowOff>133612</xdr:rowOff>
    </xdr:from>
    <xdr:to>
      <xdr:col>13</xdr:col>
      <xdr:colOff>279783</xdr:colOff>
      <xdr:row>28</xdr:row>
      <xdr:rowOff>94198</xdr:rowOff>
    </xdr:to>
    <xdr:sp macro="" textlink="">
      <xdr:nvSpPr>
        <xdr:cNvPr id="5" name="Rectangle: Single Corner Rounded 4">
          <a:extLst>
            <a:ext uri="{FF2B5EF4-FFF2-40B4-BE49-F238E27FC236}">
              <a16:creationId xmlns:a16="http://schemas.microsoft.com/office/drawing/2014/main" id="{3630A6D6-2A28-5F8D-652E-00276AE66FD5}"/>
            </a:ext>
          </a:extLst>
        </xdr:cNvPr>
        <xdr:cNvSpPr/>
      </xdr:nvSpPr>
      <xdr:spPr>
        <a:xfrm>
          <a:off x="690693" y="320059"/>
          <a:ext cx="7492813" cy="4994650"/>
        </a:xfrm>
        <a:prstGeom prst="round1Rect">
          <a:avLst/>
        </a:prstGeom>
        <a:solidFill>
          <a:schemeClr val="tx2">
            <a:lumMod val="75000"/>
          </a:schemeClr>
        </a:solidFill>
        <a:ln>
          <a:noFill/>
        </a:ln>
        <a:effectLst>
          <a:glow rad="139700">
            <a:schemeClr val="accent3">
              <a:satMod val="175000"/>
              <a:alpha val="40000"/>
            </a:schemeClr>
          </a:glow>
          <a:outerShdw blurRad="50800" dist="38100" dir="18900000" algn="bl" rotWithShape="0">
            <a:prstClr val="black">
              <a:alpha val="40000"/>
            </a:prstClr>
          </a:outerShdw>
          <a:softEdge rad="12700"/>
        </a:effectLst>
        <a:scene3d>
          <a:camera prst="orthographicFront">
            <a:rot lat="0" lon="0" rev="0"/>
          </a:camera>
          <a:lightRig rig="contrasting" dir="t">
            <a:rot lat="0" lon="0" rev="1500000"/>
          </a:lightRig>
        </a:scene3d>
        <a:sp3d prstMaterial="metal">
          <a:bevelT w="88900" h="889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solidFill>
              <a:schemeClr val="tx1">
                <a:lumMod val="75000"/>
                <a:lumOff val="25000"/>
              </a:schemeClr>
            </a:solidFill>
          </a:endParaRPr>
        </a:p>
      </xdr:txBody>
    </xdr:sp>
    <xdr:clientData/>
  </xdr:twoCellAnchor>
  <xdr:twoCellAnchor>
    <xdr:from>
      <xdr:col>8</xdr:col>
      <xdr:colOff>246520</xdr:colOff>
      <xdr:row>14</xdr:row>
      <xdr:rowOff>94201</xdr:rowOff>
    </xdr:from>
    <xdr:to>
      <xdr:col>13</xdr:col>
      <xdr:colOff>212797</xdr:colOff>
      <xdr:row>28</xdr:row>
      <xdr:rowOff>36650</xdr:rowOff>
    </xdr:to>
    <xdr:graphicFrame macro="">
      <xdr:nvGraphicFramePr>
        <xdr:cNvPr id="2" name="Chart 1">
          <a:extLst>
            <a:ext uri="{FF2B5EF4-FFF2-40B4-BE49-F238E27FC236}">
              <a16:creationId xmlns:a16="http://schemas.microsoft.com/office/drawing/2014/main" id="{67C5D32F-1524-4626-A1AE-64EE60FFC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349682</xdr:colOff>
      <xdr:row>4</xdr:row>
      <xdr:rowOff>155969</xdr:rowOff>
    </xdr:from>
    <xdr:to>
      <xdr:col>9</xdr:col>
      <xdr:colOff>470168</xdr:colOff>
      <xdr:row>14</xdr:row>
      <xdr:rowOff>64849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09E1120-A8CA-4BF5-B1B6-1A709D79E1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788082" y="887489"/>
              <a:ext cx="3168486" cy="1737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148404</xdr:colOff>
      <xdr:row>4</xdr:row>
      <xdr:rowOff>131653</xdr:rowOff>
    </xdr:from>
    <xdr:to>
      <xdr:col>4</xdr:col>
      <xdr:colOff>308027</xdr:colOff>
      <xdr:row>14</xdr:row>
      <xdr:rowOff>93926</xdr:rowOff>
    </xdr:to>
    <xdr:graphicFrame macro="">
      <xdr:nvGraphicFramePr>
        <xdr:cNvPr id="3" name="Chart 2">
          <a:extLst>
            <a:ext uri="{FF2B5EF4-FFF2-40B4-BE49-F238E27FC236}">
              <a16:creationId xmlns:a16="http://schemas.microsoft.com/office/drawing/2014/main" id="{057B00EE-D0F0-4E48-A304-D4A68819B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174679</xdr:colOff>
      <xdr:row>14</xdr:row>
      <xdr:rowOff>146751</xdr:rowOff>
    </xdr:from>
    <xdr:to>
      <xdr:col>3</xdr:col>
      <xdr:colOff>441989</xdr:colOff>
      <xdr:row>28</xdr:row>
      <xdr:rowOff>36175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93D734CE-65B2-48F3-8E0D-A089BD96A54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2658" y="2757006"/>
              <a:ext cx="1483267" cy="249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533120</xdr:colOff>
      <xdr:row>21</xdr:row>
      <xdr:rowOff>35530</xdr:rowOff>
    </xdr:from>
    <xdr:to>
      <xdr:col>6</xdr:col>
      <xdr:colOff>365184</xdr:colOff>
      <xdr:row>28</xdr:row>
      <xdr:rowOff>62402</xdr:rowOff>
    </xdr:to>
    <mc:AlternateContent xmlns:mc="http://schemas.openxmlformats.org/markup-compatibility/2006" xmlns:a14="http://schemas.microsoft.com/office/drawing/2010/main">
      <mc:Choice Requires="a14">
        <xdr:graphicFrame macro="">
          <xdr:nvGraphicFramePr>
            <xdr:cNvPr id="7" name="Risk Level">
              <a:extLst>
                <a:ext uri="{FF2B5EF4-FFF2-40B4-BE49-F238E27FC236}">
                  <a16:creationId xmlns:a16="http://schemas.microsoft.com/office/drawing/2014/main" id="{BE6A9021-6D1B-4961-8C12-212A1856320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2357056" y="3950913"/>
              <a:ext cx="1656000" cy="13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531505</xdr:colOff>
      <xdr:row>14</xdr:row>
      <xdr:rowOff>143335</xdr:rowOff>
    </xdr:from>
    <xdr:to>
      <xdr:col>6</xdr:col>
      <xdr:colOff>374472</xdr:colOff>
      <xdr:row>21</xdr:row>
      <xdr:rowOff>5301</xdr:rowOff>
    </xdr:to>
    <mc:AlternateContent xmlns:mc="http://schemas.openxmlformats.org/markup-compatibility/2006" xmlns:a14="http://schemas.microsoft.com/office/drawing/2010/main">
      <mc:Choice Requires="a14">
        <xdr:graphicFrame macro="">
          <xdr:nvGraphicFramePr>
            <xdr:cNvPr id="8" name="Customer Age2">
              <a:extLst>
                <a:ext uri="{FF2B5EF4-FFF2-40B4-BE49-F238E27FC236}">
                  <a16:creationId xmlns:a16="http://schemas.microsoft.com/office/drawing/2014/main" id="{4F06C9DB-7DBC-4661-9FBC-FFBFC903EF3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 Age2"/>
            </a:graphicData>
          </a:graphic>
        </xdr:graphicFrame>
      </mc:Choice>
      <mc:Fallback xmlns="">
        <xdr:sp macro="" textlink="">
          <xdr:nvSpPr>
            <xdr:cNvPr id="0" name=""/>
            <xdr:cNvSpPr>
              <a:spLocks noTextEdit="1"/>
            </xdr:cNvSpPr>
          </xdr:nvSpPr>
          <xdr:spPr>
            <a:xfrm>
              <a:off x="2355441" y="2753590"/>
              <a:ext cx="1666903" cy="1167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328448</xdr:colOff>
      <xdr:row>2</xdr:row>
      <xdr:rowOff>78828</xdr:rowOff>
    </xdr:from>
    <xdr:to>
      <xdr:col>10</xdr:col>
      <xdr:colOff>236483</xdr:colOff>
      <xdr:row>5</xdr:row>
      <xdr:rowOff>0</xdr:rowOff>
    </xdr:to>
    <xdr:sp macro="" textlink="">
      <xdr:nvSpPr>
        <xdr:cNvPr id="10" name="Rectangle: Rounded Corners 9">
          <a:extLst>
            <a:ext uri="{FF2B5EF4-FFF2-40B4-BE49-F238E27FC236}">
              <a16:creationId xmlns:a16="http://schemas.microsoft.com/office/drawing/2014/main" id="{BFEBEFF4-7038-3184-3CB5-ABEAFBAE5562}"/>
            </a:ext>
          </a:extLst>
        </xdr:cNvPr>
        <xdr:cNvSpPr/>
      </xdr:nvSpPr>
      <xdr:spPr>
        <a:xfrm>
          <a:off x="328448" y="446690"/>
          <a:ext cx="5951483" cy="472965"/>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187818</xdr:colOff>
      <xdr:row>2</xdr:row>
      <xdr:rowOff>14812</xdr:rowOff>
    </xdr:from>
    <xdr:to>
      <xdr:col>11</xdr:col>
      <xdr:colOff>480370</xdr:colOff>
      <xdr:row>4</xdr:row>
      <xdr:rowOff>81466</xdr:rowOff>
    </xdr:to>
    <xdr:sp macro="" textlink="">
      <xdr:nvSpPr>
        <xdr:cNvPr id="11" name="Rectangle: Diagonal Corners Rounded 10">
          <a:extLst>
            <a:ext uri="{FF2B5EF4-FFF2-40B4-BE49-F238E27FC236}">
              <a16:creationId xmlns:a16="http://schemas.microsoft.com/office/drawing/2014/main" id="{96273D0C-D0FC-E03B-B4FB-50B569B344BA}"/>
            </a:ext>
          </a:extLst>
        </xdr:cNvPr>
        <xdr:cNvSpPr/>
      </xdr:nvSpPr>
      <xdr:spPr>
        <a:xfrm flipH="1">
          <a:off x="795797" y="387706"/>
          <a:ext cx="6372339" cy="439547"/>
        </a:xfrm>
        <a:prstGeom prst="round2DiagRect">
          <a:avLst/>
        </a:prstGeom>
        <a:solidFill>
          <a:schemeClr val="accent3">
            <a:lumMod val="75000"/>
          </a:schemeClr>
        </a:solidFill>
        <a:ln>
          <a:solidFill>
            <a:srgbClr val="FFFF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2">
                <a:lumMod val="25000"/>
              </a:schemeClr>
            </a:solidFill>
            <a:latin typeface="+mn-lt"/>
            <a:ea typeface="+mn-ea"/>
            <a:cs typeface="+mn-cs"/>
          </a:endParaRPr>
        </a:p>
      </xdr:txBody>
    </xdr:sp>
    <xdr:clientData/>
  </xdr:twoCellAnchor>
  <xdr:twoCellAnchor>
    <xdr:from>
      <xdr:col>1</xdr:col>
      <xdr:colOff>107871</xdr:colOff>
      <xdr:row>2</xdr:row>
      <xdr:rowOff>64851</xdr:rowOff>
    </xdr:from>
    <xdr:to>
      <xdr:col>11</xdr:col>
      <xdr:colOff>534997</xdr:colOff>
      <xdr:row>4</xdr:row>
      <xdr:rowOff>16213</xdr:rowOff>
    </xdr:to>
    <xdr:sp macro="" textlink="">
      <xdr:nvSpPr>
        <xdr:cNvPr id="12" name="TextBox 11">
          <a:extLst>
            <a:ext uri="{FF2B5EF4-FFF2-40B4-BE49-F238E27FC236}">
              <a16:creationId xmlns:a16="http://schemas.microsoft.com/office/drawing/2014/main" id="{BD06DFFA-C37C-9B40-0F22-B5F6FCB16C81}"/>
            </a:ext>
          </a:extLst>
        </xdr:cNvPr>
        <xdr:cNvSpPr txBox="1"/>
      </xdr:nvSpPr>
      <xdr:spPr>
        <a:xfrm>
          <a:off x="715850" y="437745"/>
          <a:ext cx="6506913" cy="3242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IN" sz="1800" b="1" i="0" u="sng" strike="noStrike">
              <a:ln>
                <a:noFill/>
              </a:ln>
              <a:solidFill>
                <a:schemeClr val="accent3">
                  <a:lumMod val="20000"/>
                  <a:lumOff val="80000"/>
                </a:schemeClr>
              </a:solidFill>
              <a:effectLst/>
              <a:latin typeface="+mj-lt"/>
              <a:ea typeface="+mn-ea"/>
              <a:cs typeface="+mn-cs"/>
            </a:rPr>
            <a:t>FRAUD DETECTION RISK SCORER - EXECUTIVE DASHBOARD</a:t>
          </a:r>
          <a:r>
            <a:rPr lang="en-IN" sz="1800" b="1" u="sng">
              <a:ln>
                <a:noFill/>
              </a:ln>
              <a:solidFill>
                <a:schemeClr val="accent3">
                  <a:lumMod val="20000"/>
                  <a:lumOff val="80000"/>
                </a:schemeClr>
              </a:solidFill>
              <a:effectLst/>
              <a:latin typeface="+mj-lt"/>
            </a:rPr>
            <a:t> </a:t>
          </a:r>
          <a:endParaRPr lang="en-IN" sz="1800" b="1" u="sng">
            <a:ln>
              <a:noFill/>
            </a:ln>
            <a:solidFill>
              <a:schemeClr val="accent3">
                <a:lumMod val="20000"/>
                <a:lumOff val="80000"/>
              </a:schemeClr>
            </a:solidFill>
            <a:latin typeface="+mj-lt"/>
          </a:endParaRPr>
        </a:p>
      </xdr:txBody>
    </xdr:sp>
    <xdr:clientData/>
  </xdr:twoCellAnchor>
  <xdr:twoCellAnchor>
    <xdr:from>
      <xdr:col>10</xdr:col>
      <xdr:colOff>591733</xdr:colOff>
      <xdr:row>2</xdr:row>
      <xdr:rowOff>48637</xdr:rowOff>
    </xdr:from>
    <xdr:to>
      <xdr:col>13</xdr:col>
      <xdr:colOff>121568</xdr:colOff>
      <xdr:row>8</xdr:row>
      <xdr:rowOff>97273</xdr:rowOff>
    </xdr:to>
    <xdr:sp macro="" textlink="">
      <xdr:nvSpPr>
        <xdr:cNvPr id="13" name="Partial Circle 12">
          <a:extLst>
            <a:ext uri="{FF2B5EF4-FFF2-40B4-BE49-F238E27FC236}">
              <a16:creationId xmlns:a16="http://schemas.microsoft.com/office/drawing/2014/main" id="{08DA4BDC-0CCE-C08F-0A5A-BCB07BA03401}"/>
            </a:ext>
          </a:extLst>
        </xdr:cNvPr>
        <xdr:cNvSpPr/>
      </xdr:nvSpPr>
      <xdr:spPr>
        <a:xfrm flipH="1">
          <a:off x="6671520" y="421531"/>
          <a:ext cx="1353771" cy="1167316"/>
        </a:xfrm>
        <a:prstGeom prst="pie">
          <a:avLst/>
        </a:prstGeom>
        <a:solidFill>
          <a:schemeClr val="accent6">
            <a:lumMod val="75000"/>
          </a:schemeClr>
        </a:solidFill>
        <a:ln>
          <a:solidFill>
            <a:srgbClr val="FFFF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421506</xdr:colOff>
      <xdr:row>14</xdr:row>
      <xdr:rowOff>145914</xdr:rowOff>
    </xdr:from>
    <xdr:to>
      <xdr:col>8</xdr:col>
      <xdr:colOff>226952</xdr:colOff>
      <xdr:row>18</xdr:row>
      <xdr:rowOff>154020</xdr:rowOff>
    </xdr:to>
    <xdr:sp macro="" textlink="">
      <xdr:nvSpPr>
        <xdr:cNvPr id="14" name="Rectangle: Diagonal Corners Rounded 13">
          <a:extLst>
            <a:ext uri="{FF2B5EF4-FFF2-40B4-BE49-F238E27FC236}">
              <a16:creationId xmlns:a16="http://schemas.microsoft.com/office/drawing/2014/main" id="{49CAA796-9F63-224D-3AFB-B44059378F87}"/>
            </a:ext>
          </a:extLst>
        </xdr:cNvPr>
        <xdr:cNvSpPr/>
      </xdr:nvSpPr>
      <xdr:spPr>
        <a:xfrm flipH="1">
          <a:off x="4069378" y="2756169"/>
          <a:ext cx="1021404" cy="753894"/>
        </a:xfrm>
        <a:prstGeom prst="round2DiagRect">
          <a:avLst/>
        </a:prstGeom>
        <a:solidFill>
          <a:schemeClr val="accent3">
            <a:lumMod val="60000"/>
            <a:lumOff val="40000"/>
          </a:schemeClr>
        </a:solidFill>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16190</xdr:colOff>
      <xdr:row>17</xdr:row>
      <xdr:rowOff>40522</xdr:rowOff>
    </xdr:from>
    <xdr:to>
      <xdr:col>7</xdr:col>
      <xdr:colOff>592190</xdr:colOff>
      <xdr:row>18</xdr:row>
      <xdr:rowOff>70075</xdr:rowOff>
    </xdr:to>
    <xdr:sp macro="" textlink="Chartdata!A5">
      <xdr:nvSpPr>
        <xdr:cNvPr id="15" name="TextBox 14">
          <a:extLst>
            <a:ext uri="{FF2B5EF4-FFF2-40B4-BE49-F238E27FC236}">
              <a16:creationId xmlns:a16="http://schemas.microsoft.com/office/drawing/2014/main" id="{D4E34CB4-CFCF-D4E9-EB2B-AE622282A760}"/>
            </a:ext>
          </a:extLst>
        </xdr:cNvPr>
        <xdr:cNvSpPr txBox="1"/>
      </xdr:nvSpPr>
      <xdr:spPr>
        <a:xfrm>
          <a:off x="4272041" y="3210118"/>
          <a:ext cx="576000" cy="216000"/>
        </a:xfrm>
        <a:prstGeom prst="rect">
          <a:avLst/>
        </a:prstGeom>
        <a:solidFill>
          <a:schemeClr val="accent3">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BD06C8-A8A6-45E1-9AA6-D4E805F90886}" type="TxLink">
            <a:rPr lang="en-US" sz="1400" b="1" i="0" u="none" strike="noStrike">
              <a:solidFill>
                <a:schemeClr val="accent6">
                  <a:lumMod val="75000"/>
                </a:schemeClr>
              </a:solidFill>
              <a:latin typeface="Bernard MT Condensed" panose="02050806060905020404" pitchFamily="18" charset="0"/>
              <a:ea typeface="Calibri"/>
              <a:cs typeface="Calibri"/>
            </a:rPr>
            <a:pPr algn="ctr"/>
            <a:t>150</a:t>
          </a:fld>
          <a:endParaRPr lang="en-IN" sz="1400" b="1">
            <a:solidFill>
              <a:schemeClr val="accent6">
                <a:lumMod val="75000"/>
              </a:schemeClr>
            </a:solidFill>
            <a:latin typeface="Bernard MT Condensed" panose="02050806060905020404" pitchFamily="18" charset="0"/>
          </a:endParaRPr>
        </a:p>
      </xdr:txBody>
    </xdr:sp>
    <xdr:clientData/>
  </xdr:twoCellAnchor>
  <xdr:twoCellAnchor>
    <xdr:from>
      <xdr:col>6</xdr:col>
      <xdr:colOff>452318</xdr:colOff>
      <xdr:row>14</xdr:row>
      <xdr:rowOff>176710</xdr:rowOff>
    </xdr:from>
    <xdr:to>
      <xdr:col>8</xdr:col>
      <xdr:colOff>162103</xdr:colOff>
      <xdr:row>17</xdr:row>
      <xdr:rowOff>72953</xdr:rowOff>
    </xdr:to>
    <xdr:sp macro="" textlink="">
      <xdr:nvSpPr>
        <xdr:cNvPr id="16" name="TextBox 15">
          <a:extLst>
            <a:ext uri="{FF2B5EF4-FFF2-40B4-BE49-F238E27FC236}">
              <a16:creationId xmlns:a16="http://schemas.microsoft.com/office/drawing/2014/main" id="{D42A0774-B6B8-4ED9-A41B-E068335F493D}"/>
            </a:ext>
          </a:extLst>
        </xdr:cNvPr>
        <xdr:cNvSpPr txBox="1"/>
      </xdr:nvSpPr>
      <xdr:spPr>
        <a:xfrm>
          <a:off x="4100190" y="2786965"/>
          <a:ext cx="925743" cy="455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rgbClr val="002060"/>
              </a:solidFill>
              <a:latin typeface="Bernard MT Condensed" panose="02050806060905020404" pitchFamily="18" charset="0"/>
              <a:ea typeface="Calibri"/>
              <a:cs typeface="Calibri"/>
            </a:rPr>
            <a:t>Total</a:t>
          </a:r>
          <a:r>
            <a:rPr lang="en-US" sz="1200" b="0" i="0" u="none" strike="noStrike" baseline="0">
              <a:solidFill>
                <a:srgbClr val="002060"/>
              </a:solidFill>
              <a:latin typeface="Bernard MT Condensed" panose="02050806060905020404" pitchFamily="18" charset="0"/>
              <a:ea typeface="Calibri"/>
              <a:cs typeface="Calibri"/>
            </a:rPr>
            <a:t> Transactions</a:t>
          </a:r>
          <a:endParaRPr lang="en-US" sz="1200" b="0" i="0" u="none" strike="noStrike">
            <a:solidFill>
              <a:srgbClr val="002060"/>
            </a:solidFill>
            <a:latin typeface="Bernard MT Condensed" panose="02050806060905020404" pitchFamily="18" charset="0"/>
            <a:ea typeface="Calibri"/>
            <a:cs typeface="Calibri"/>
          </a:endParaRPr>
        </a:p>
      </xdr:txBody>
    </xdr:sp>
    <xdr:clientData/>
  </xdr:twoCellAnchor>
  <xdr:twoCellAnchor>
    <xdr:from>
      <xdr:col>6</xdr:col>
      <xdr:colOff>411779</xdr:colOff>
      <xdr:row>19</xdr:row>
      <xdr:rowOff>63230</xdr:rowOff>
    </xdr:from>
    <xdr:to>
      <xdr:col>8</xdr:col>
      <xdr:colOff>217225</xdr:colOff>
      <xdr:row>23</xdr:row>
      <xdr:rowOff>71336</xdr:rowOff>
    </xdr:to>
    <xdr:sp macro="" textlink="">
      <xdr:nvSpPr>
        <xdr:cNvPr id="17" name="Rectangle: Diagonal Corners Rounded 16">
          <a:extLst>
            <a:ext uri="{FF2B5EF4-FFF2-40B4-BE49-F238E27FC236}">
              <a16:creationId xmlns:a16="http://schemas.microsoft.com/office/drawing/2014/main" id="{624646C0-2076-4D59-8B32-3ED6AB036658}"/>
            </a:ext>
          </a:extLst>
        </xdr:cNvPr>
        <xdr:cNvSpPr/>
      </xdr:nvSpPr>
      <xdr:spPr>
        <a:xfrm flipH="1">
          <a:off x="4059651" y="3605719"/>
          <a:ext cx="1021404" cy="753894"/>
        </a:xfrm>
        <a:prstGeom prst="round2DiagRect">
          <a:avLst/>
        </a:prstGeom>
        <a:solidFill>
          <a:schemeClr val="accent3">
            <a:lumMod val="60000"/>
            <a:lumOff val="40000"/>
          </a:schemeClr>
        </a:solidFill>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402050</xdr:colOff>
      <xdr:row>23</xdr:row>
      <xdr:rowOff>175098</xdr:rowOff>
    </xdr:from>
    <xdr:to>
      <xdr:col>8</xdr:col>
      <xdr:colOff>207496</xdr:colOff>
      <xdr:row>27</xdr:row>
      <xdr:rowOff>183205</xdr:rowOff>
    </xdr:to>
    <xdr:sp macro="" textlink="">
      <xdr:nvSpPr>
        <xdr:cNvPr id="18" name="Rectangle: Diagonal Corners Rounded 17">
          <a:extLst>
            <a:ext uri="{FF2B5EF4-FFF2-40B4-BE49-F238E27FC236}">
              <a16:creationId xmlns:a16="http://schemas.microsoft.com/office/drawing/2014/main" id="{D9DC55ED-AA24-46CD-83A7-BD2610E4FE64}"/>
            </a:ext>
          </a:extLst>
        </xdr:cNvPr>
        <xdr:cNvSpPr/>
      </xdr:nvSpPr>
      <xdr:spPr>
        <a:xfrm flipH="1">
          <a:off x="4049922" y="4463375"/>
          <a:ext cx="1021404" cy="753894"/>
        </a:xfrm>
        <a:prstGeom prst="round2DiagRect">
          <a:avLst/>
        </a:prstGeom>
        <a:solidFill>
          <a:schemeClr val="accent3">
            <a:lumMod val="60000"/>
            <a:lumOff val="40000"/>
          </a:schemeClr>
        </a:solidFill>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458800</xdr:colOff>
      <xdr:row>19</xdr:row>
      <xdr:rowOff>94024</xdr:rowOff>
    </xdr:from>
    <xdr:to>
      <xdr:col>8</xdr:col>
      <xdr:colOff>168585</xdr:colOff>
      <xdr:row>21</xdr:row>
      <xdr:rowOff>176714</xdr:rowOff>
    </xdr:to>
    <xdr:sp macro="" textlink="">
      <xdr:nvSpPr>
        <xdr:cNvPr id="19" name="TextBox 18">
          <a:extLst>
            <a:ext uri="{FF2B5EF4-FFF2-40B4-BE49-F238E27FC236}">
              <a16:creationId xmlns:a16="http://schemas.microsoft.com/office/drawing/2014/main" id="{F237555C-0E41-4705-B1BE-0B554013B35D}"/>
            </a:ext>
          </a:extLst>
        </xdr:cNvPr>
        <xdr:cNvSpPr txBox="1"/>
      </xdr:nvSpPr>
      <xdr:spPr>
        <a:xfrm>
          <a:off x="4106672" y="3636513"/>
          <a:ext cx="925743" cy="455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rgbClr val="002060"/>
              </a:solidFill>
              <a:latin typeface="Bernard MT Condensed" panose="02050806060905020404" pitchFamily="18" charset="0"/>
              <a:ea typeface="Calibri"/>
              <a:cs typeface="Calibri"/>
            </a:rPr>
            <a:t>Avg</a:t>
          </a:r>
          <a:r>
            <a:rPr lang="en-US" sz="1200" b="0" i="0" u="none" strike="noStrike" baseline="0">
              <a:solidFill>
                <a:srgbClr val="002060"/>
              </a:solidFill>
              <a:latin typeface="Bernard MT Condensed" panose="02050806060905020404" pitchFamily="18" charset="0"/>
              <a:ea typeface="Calibri"/>
              <a:cs typeface="Calibri"/>
            </a:rPr>
            <a:t> Risk Scoore</a:t>
          </a:r>
          <a:endParaRPr lang="en-US" sz="1200" b="0" i="0" u="none" strike="noStrike">
            <a:solidFill>
              <a:srgbClr val="002060"/>
            </a:solidFill>
            <a:latin typeface="Bernard MT Condensed" panose="02050806060905020404" pitchFamily="18" charset="0"/>
            <a:ea typeface="Calibri"/>
            <a:cs typeface="Calibri"/>
          </a:endParaRPr>
        </a:p>
      </xdr:txBody>
    </xdr:sp>
    <xdr:clientData/>
  </xdr:twoCellAnchor>
  <xdr:twoCellAnchor>
    <xdr:from>
      <xdr:col>6</xdr:col>
      <xdr:colOff>465284</xdr:colOff>
      <xdr:row>24</xdr:row>
      <xdr:rowOff>3230</xdr:rowOff>
    </xdr:from>
    <xdr:to>
      <xdr:col>8</xdr:col>
      <xdr:colOff>175069</xdr:colOff>
      <xdr:row>26</xdr:row>
      <xdr:rowOff>85920</xdr:rowOff>
    </xdr:to>
    <xdr:sp macro="" textlink="">
      <xdr:nvSpPr>
        <xdr:cNvPr id="20" name="TextBox 19">
          <a:extLst>
            <a:ext uri="{FF2B5EF4-FFF2-40B4-BE49-F238E27FC236}">
              <a16:creationId xmlns:a16="http://schemas.microsoft.com/office/drawing/2014/main" id="{C4681FDF-89BF-4B02-A3B3-7EAC2D700088}"/>
            </a:ext>
          </a:extLst>
        </xdr:cNvPr>
        <xdr:cNvSpPr txBox="1"/>
      </xdr:nvSpPr>
      <xdr:spPr>
        <a:xfrm>
          <a:off x="4113156" y="4477953"/>
          <a:ext cx="925743" cy="4555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none" strike="noStrike">
              <a:solidFill>
                <a:srgbClr val="002060"/>
              </a:solidFill>
              <a:latin typeface="Bernard MT Condensed" panose="02050806060905020404" pitchFamily="18" charset="0"/>
              <a:ea typeface="Calibri"/>
              <a:cs typeface="Calibri"/>
            </a:rPr>
            <a:t>Total</a:t>
          </a:r>
          <a:r>
            <a:rPr lang="en-US" sz="1200" b="0" i="0" u="none" strike="noStrike" baseline="0">
              <a:solidFill>
                <a:srgbClr val="002060"/>
              </a:solidFill>
              <a:latin typeface="Bernard MT Condensed" panose="02050806060905020404" pitchFamily="18" charset="0"/>
              <a:ea typeface="Calibri"/>
              <a:cs typeface="Calibri"/>
            </a:rPr>
            <a:t> Amount</a:t>
          </a:r>
          <a:endParaRPr lang="en-US" sz="1200" b="0" i="0" u="none" strike="noStrike">
            <a:solidFill>
              <a:srgbClr val="002060"/>
            </a:solidFill>
            <a:latin typeface="Bernard MT Condensed" panose="02050806060905020404" pitchFamily="18" charset="0"/>
            <a:ea typeface="Calibri"/>
            <a:cs typeface="Calibri"/>
          </a:endParaRPr>
        </a:p>
      </xdr:txBody>
    </xdr:sp>
    <xdr:clientData/>
  </xdr:twoCellAnchor>
  <xdr:twoCellAnchor>
    <xdr:from>
      <xdr:col>7</xdr:col>
      <xdr:colOff>22675</xdr:colOff>
      <xdr:row>21</xdr:row>
      <xdr:rowOff>152390</xdr:rowOff>
    </xdr:from>
    <xdr:to>
      <xdr:col>7</xdr:col>
      <xdr:colOff>598675</xdr:colOff>
      <xdr:row>22</xdr:row>
      <xdr:rowOff>181943</xdr:rowOff>
    </xdr:to>
    <xdr:sp macro="" textlink="Chartdata!A7">
      <xdr:nvSpPr>
        <xdr:cNvPr id="21" name="TextBox 20">
          <a:extLst>
            <a:ext uri="{FF2B5EF4-FFF2-40B4-BE49-F238E27FC236}">
              <a16:creationId xmlns:a16="http://schemas.microsoft.com/office/drawing/2014/main" id="{EA97634E-45D3-4EFF-904B-B2BD8DB3EAA1}"/>
            </a:ext>
          </a:extLst>
        </xdr:cNvPr>
        <xdr:cNvSpPr txBox="1"/>
      </xdr:nvSpPr>
      <xdr:spPr>
        <a:xfrm>
          <a:off x="4278526" y="4067773"/>
          <a:ext cx="576000" cy="216000"/>
        </a:xfrm>
        <a:prstGeom prst="rect">
          <a:avLst/>
        </a:prstGeom>
        <a:solidFill>
          <a:schemeClr val="accent3">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40B5DB-80D2-447C-887A-FF193B02EED6}" type="TxLink">
            <a:rPr lang="en-US" sz="1400" b="1" i="0" u="none" strike="noStrike">
              <a:solidFill>
                <a:schemeClr val="accent6">
                  <a:lumMod val="75000"/>
                </a:schemeClr>
              </a:solidFill>
              <a:latin typeface="Bernard MT Condensed" panose="02050806060905020404" pitchFamily="18" charset="0"/>
              <a:ea typeface="Calibri"/>
              <a:cs typeface="Calibri"/>
            </a:rPr>
            <a:pPr marL="0" indent="0" algn="ctr"/>
            <a:t>3</a:t>
          </a:fld>
          <a:endParaRPr lang="en-IN" sz="1400" b="1" i="0" u="none" strike="noStrike">
            <a:solidFill>
              <a:schemeClr val="accent6">
                <a:lumMod val="75000"/>
              </a:schemeClr>
            </a:solidFill>
            <a:latin typeface="Bernard MT Condensed" panose="02050806060905020404" pitchFamily="18" charset="0"/>
            <a:ea typeface="Calibri"/>
            <a:cs typeface="Calibri"/>
          </a:endParaRPr>
        </a:p>
      </xdr:txBody>
    </xdr:sp>
    <xdr:clientData/>
  </xdr:twoCellAnchor>
  <xdr:twoCellAnchor>
    <xdr:from>
      <xdr:col>6</xdr:col>
      <xdr:colOff>381000</xdr:colOff>
      <xdr:row>26</xdr:row>
      <xdr:rowOff>85923</xdr:rowOff>
    </xdr:from>
    <xdr:to>
      <xdr:col>8</xdr:col>
      <xdr:colOff>197669</xdr:colOff>
      <xdr:row>27</xdr:row>
      <xdr:rowOff>113123</xdr:rowOff>
    </xdr:to>
    <xdr:sp macro="" textlink="Chartdata!A9">
      <xdr:nvSpPr>
        <xdr:cNvPr id="22" name="TextBox 21">
          <a:extLst>
            <a:ext uri="{FF2B5EF4-FFF2-40B4-BE49-F238E27FC236}">
              <a16:creationId xmlns:a16="http://schemas.microsoft.com/office/drawing/2014/main" id="{C36311BC-7AF9-4AE6-860F-568C0740FD63}"/>
            </a:ext>
          </a:extLst>
        </xdr:cNvPr>
        <xdr:cNvSpPr txBox="1"/>
      </xdr:nvSpPr>
      <xdr:spPr>
        <a:xfrm>
          <a:off x="4028872" y="4933540"/>
          <a:ext cx="1032627" cy="21364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18DCCF-771D-4CD8-9AC2-D4B0B978824C}" type="TxLink">
            <a:rPr lang="en-US" sz="1300" b="0" i="0" u="none" strike="noStrike">
              <a:solidFill>
                <a:schemeClr val="accent6">
                  <a:lumMod val="75000"/>
                </a:schemeClr>
              </a:solidFill>
              <a:latin typeface="Bernard MT Condensed" panose="02050806060905020404" pitchFamily="18" charset="0"/>
              <a:ea typeface="Calibri"/>
              <a:cs typeface="Calibri"/>
            </a:rPr>
            <a:pPr marL="0" indent="0" algn="ctr"/>
            <a:t>$10,67,949.43</a:t>
          </a:fld>
          <a:endParaRPr lang="en-IN" sz="1300" b="0" i="0" u="none" strike="noStrike">
            <a:solidFill>
              <a:schemeClr val="accent6">
                <a:lumMod val="75000"/>
              </a:schemeClr>
            </a:solidFill>
            <a:latin typeface="Bernard MT Condensed" panose="02050806060905020404" pitchFamily="18" charset="0"/>
            <a:ea typeface="Calibri"/>
            <a:cs typeface="Calibri"/>
          </a:endParaRPr>
        </a:p>
      </xdr:txBody>
    </xdr:sp>
    <xdr:clientData/>
  </xdr:twoCellAnchor>
  <xdr:twoCellAnchor>
    <xdr:from>
      <xdr:col>11</xdr:col>
      <xdr:colOff>591739</xdr:colOff>
      <xdr:row>2</xdr:row>
      <xdr:rowOff>89163</xdr:rowOff>
    </xdr:from>
    <xdr:to>
      <xdr:col>11</xdr:col>
      <xdr:colOff>599845</xdr:colOff>
      <xdr:row>5</xdr:row>
      <xdr:rowOff>24312</xdr:rowOff>
    </xdr:to>
    <xdr:cxnSp macro="">
      <xdr:nvCxnSpPr>
        <xdr:cNvPr id="24" name="Straight Connector 23">
          <a:extLst>
            <a:ext uri="{FF2B5EF4-FFF2-40B4-BE49-F238E27FC236}">
              <a16:creationId xmlns:a16="http://schemas.microsoft.com/office/drawing/2014/main" id="{3E041010-17C8-1937-6410-C32CFAED5E45}"/>
            </a:ext>
          </a:extLst>
        </xdr:cNvPr>
        <xdr:cNvCxnSpPr/>
      </xdr:nvCxnSpPr>
      <xdr:spPr>
        <a:xfrm flipH="1">
          <a:off x="7279505" y="462057"/>
          <a:ext cx="8106" cy="494489"/>
        </a:xfrm>
        <a:prstGeom prst="line">
          <a:avLst/>
        </a:prstGeom>
        <a:ln>
          <a:solidFill>
            <a:srgbClr val="FFFF00"/>
          </a:solidFill>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10</xdr:col>
      <xdr:colOff>582012</xdr:colOff>
      <xdr:row>5</xdr:row>
      <xdr:rowOff>6479</xdr:rowOff>
    </xdr:from>
    <xdr:to>
      <xdr:col>11</xdr:col>
      <xdr:colOff>575527</xdr:colOff>
      <xdr:row>5</xdr:row>
      <xdr:rowOff>8101</xdr:rowOff>
    </xdr:to>
    <xdr:cxnSp macro="">
      <xdr:nvCxnSpPr>
        <xdr:cNvPr id="25" name="Straight Connector 24">
          <a:extLst>
            <a:ext uri="{FF2B5EF4-FFF2-40B4-BE49-F238E27FC236}">
              <a16:creationId xmlns:a16="http://schemas.microsoft.com/office/drawing/2014/main" id="{B2C42E38-BD16-4441-955D-B0C2F108713F}"/>
            </a:ext>
          </a:extLst>
        </xdr:cNvPr>
        <xdr:cNvCxnSpPr/>
      </xdr:nvCxnSpPr>
      <xdr:spPr>
        <a:xfrm flipH="1" flipV="1">
          <a:off x="6661799" y="938713"/>
          <a:ext cx="601494" cy="1622"/>
        </a:xfrm>
        <a:prstGeom prst="line">
          <a:avLst/>
        </a:prstGeom>
        <a:ln>
          <a:solidFill>
            <a:srgbClr val="FFFF00"/>
          </a:solidFill>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9</xdr:col>
      <xdr:colOff>486355</xdr:colOff>
      <xdr:row>12</xdr:row>
      <xdr:rowOff>89167</xdr:rowOff>
    </xdr:from>
    <xdr:to>
      <xdr:col>13</xdr:col>
      <xdr:colOff>178313</xdr:colOff>
      <xdr:row>14</xdr:row>
      <xdr:rowOff>55124</xdr:rowOff>
    </xdr:to>
    <xdr:sp macro="" textlink="">
      <xdr:nvSpPr>
        <xdr:cNvPr id="28" name="Rectangle: Diagonal Corners Rounded 27">
          <a:extLst>
            <a:ext uri="{FF2B5EF4-FFF2-40B4-BE49-F238E27FC236}">
              <a16:creationId xmlns:a16="http://schemas.microsoft.com/office/drawing/2014/main" id="{83E94499-0904-4CF0-8E7D-C9DA8F749614}"/>
            </a:ext>
          </a:extLst>
        </xdr:cNvPr>
        <xdr:cNvSpPr/>
      </xdr:nvSpPr>
      <xdr:spPr>
        <a:xfrm flipH="1">
          <a:off x="5958164" y="2326529"/>
          <a:ext cx="2123872" cy="338850"/>
        </a:xfrm>
        <a:prstGeom prst="round2DiagRect">
          <a:avLst/>
        </a:prstGeom>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492840</xdr:colOff>
      <xdr:row>10</xdr:row>
      <xdr:rowOff>103760</xdr:rowOff>
    </xdr:from>
    <xdr:to>
      <xdr:col>13</xdr:col>
      <xdr:colOff>184798</xdr:colOff>
      <xdr:row>12</xdr:row>
      <xdr:rowOff>69716</xdr:rowOff>
    </xdr:to>
    <xdr:sp macro="" textlink="">
      <xdr:nvSpPr>
        <xdr:cNvPr id="29" name="Rectangle: Diagonal Corners Rounded 28">
          <a:extLst>
            <a:ext uri="{FF2B5EF4-FFF2-40B4-BE49-F238E27FC236}">
              <a16:creationId xmlns:a16="http://schemas.microsoft.com/office/drawing/2014/main" id="{6CB0CAD0-BCD1-415E-8A24-687F17306E6E}"/>
            </a:ext>
          </a:extLst>
        </xdr:cNvPr>
        <xdr:cNvSpPr/>
      </xdr:nvSpPr>
      <xdr:spPr>
        <a:xfrm flipH="1">
          <a:off x="5964649" y="1968228"/>
          <a:ext cx="2123872" cy="338850"/>
        </a:xfrm>
        <a:prstGeom prst="round2DiagRect">
          <a:avLst/>
        </a:prstGeom>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499332</xdr:colOff>
      <xdr:row>8</xdr:row>
      <xdr:rowOff>102141</xdr:rowOff>
    </xdr:from>
    <xdr:to>
      <xdr:col>13</xdr:col>
      <xdr:colOff>191290</xdr:colOff>
      <xdr:row>10</xdr:row>
      <xdr:rowOff>89247</xdr:rowOff>
    </xdr:to>
    <xdr:sp macro="" textlink="">
      <xdr:nvSpPr>
        <xdr:cNvPr id="30" name="Rectangle: Diagonal Corners Rounded 29">
          <a:extLst>
            <a:ext uri="{FF2B5EF4-FFF2-40B4-BE49-F238E27FC236}">
              <a16:creationId xmlns:a16="http://schemas.microsoft.com/office/drawing/2014/main" id="{42E38821-C4E0-4029-A267-3F8CBAAF2B94}"/>
            </a:ext>
          </a:extLst>
        </xdr:cNvPr>
        <xdr:cNvSpPr/>
      </xdr:nvSpPr>
      <xdr:spPr>
        <a:xfrm flipH="1">
          <a:off x="5971141" y="1593715"/>
          <a:ext cx="2123872" cy="360000"/>
        </a:xfrm>
        <a:prstGeom prst="round2DiagRect">
          <a:avLst/>
        </a:prstGeom>
        <a:ln>
          <a:noFill/>
        </a:ln>
        <a:effectLst>
          <a:outerShdw blurRad="40000" dist="20000" dir="5400000" rotWithShape="0">
            <a:srgbClr val="000000">
              <a:alpha val="38000"/>
            </a:srgbClr>
          </a:outerShdw>
          <a:softEdge rad="31750"/>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604714</xdr:colOff>
      <xdr:row>8</xdr:row>
      <xdr:rowOff>142663</xdr:rowOff>
    </xdr:from>
    <xdr:to>
      <xdr:col>13</xdr:col>
      <xdr:colOff>64822</xdr:colOff>
      <xdr:row>10</xdr:row>
      <xdr:rowOff>81060</xdr:rowOff>
    </xdr:to>
    <xdr:sp macro="" textlink="">
      <xdr:nvSpPr>
        <xdr:cNvPr id="31" name="TextBox 30">
          <a:hlinkClick xmlns:r="http://schemas.openxmlformats.org/officeDocument/2006/relationships" r:id="rId4"/>
          <a:extLst>
            <a:ext uri="{FF2B5EF4-FFF2-40B4-BE49-F238E27FC236}">
              <a16:creationId xmlns:a16="http://schemas.microsoft.com/office/drawing/2014/main" id="{9077336A-A494-49DA-AC50-DA49D2CC4D6A}"/>
            </a:ext>
          </a:extLst>
        </xdr:cNvPr>
        <xdr:cNvSpPr txBox="1"/>
      </xdr:nvSpPr>
      <xdr:spPr>
        <a:xfrm>
          <a:off x="6076523" y="1634237"/>
          <a:ext cx="1892022" cy="3112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0" i="0" u="sng" strike="noStrike">
              <a:solidFill>
                <a:srgbClr val="002060"/>
              </a:solidFill>
              <a:latin typeface="Bernard MT Condensed" panose="02050806060905020404" pitchFamily="18" charset="0"/>
              <a:ea typeface="Calibri"/>
              <a:cs typeface="Calibri"/>
            </a:rPr>
            <a:t>Analysis - Location &amp; Time</a:t>
          </a:r>
        </a:p>
      </xdr:txBody>
    </xdr:sp>
    <xdr:clientData/>
  </xdr:twoCellAnchor>
  <xdr:twoCellAnchor>
    <xdr:from>
      <xdr:col>10</xdr:col>
      <xdr:colOff>11328</xdr:colOff>
      <xdr:row>10</xdr:row>
      <xdr:rowOff>132935</xdr:rowOff>
    </xdr:from>
    <xdr:to>
      <xdr:col>13</xdr:col>
      <xdr:colOff>79414</xdr:colOff>
      <xdr:row>12</xdr:row>
      <xdr:rowOff>71332</xdr:rowOff>
    </xdr:to>
    <xdr:sp macro="" textlink="">
      <xdr:nvSpPr>
        <xdr:cNvPr id="32" name="TextBox 31">
          <a:hlinkClick xmlns:r="http://schemas.openxmlformats.org/officeDocument/2006/relationships" r:id="rId5"/>
          <a:extLst>
            <a:ext uri="{FF2B5EF4-FFF2-40B4-BE49-F238E27FC236}">
              <a16:creationId xmlns:a16="http://schemas.microsoft.com/office/drawing/2014/main" id="{A9A1CAD2-E131-4E08-8CC6-5CB8E61867FF}"/>
            </a:ext>
          </a:extLst>
        </xdr:cNvPr>
        <xdr:cNvSpPr txBox="1"/>
      </xdr:nvSpPr>
      <xdr:spPr>
        <a:xfrm>
          <a:off x="6091115" y="1997403"/>
          <a:ext cx="1892022" cy="3112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0" i="0" u="sng" strike="noStrike">
              <a:solidFill>
                <a:srgbClr val="002060"/>
              </a:solidFill>
              <a:latin typeface="Bernard MT Condensed" panose="02050806060905020404" pitchFamily="18" charset="0"/>
              <a:ea typeface="Calibri"/>
              <a:cs typeface="Calibri"/>
            </a:rPr>
            <a:t>Monthly Summary</a:t>
          </a:r>
        </a:p>
      </xdr:txBody>
    </xdr:sp>
    <xdr:clientData/>
  </xdr:twoCellAnchor>
  <xdr:twoCellAnchor>
    <xdr:from>
      <xdr:col>10</xdr:col>
      <xdr:colOff>17812</xdr:colOff>
      <xdr:row>12</xdr:row>
      <xdr:rowOff>106994</xdr:rowOff>
    </xdr:from>
    <xdr:to>
      <xdr:col>13</xdr:col>
      <xdr:colOff>85898</xdr:colOff>
      <xdr:row>14</xdr:row>
      <xdr:rowOff>45392</xdr:rowOff>
    </xdr:to>
    <xdr:sp macro="" textlink="">
      <xdr:nvSpPr>
        <xdr:cNvPr id="33" name="TextBox 32">
          <a:hlinkClick xmlns:r="http://schemas.openxmlformats.org/officeDocument/2006/relationships" r:id="rId6"/>
          <a:extLst>
            <a:ext uri="{FF2B5EF4-FFF2-40B4-BE49-F238E27FC236}">
              <a16:creationId xmlns:a16="http://schemas.microsoft.com/office/drawing/2014/main" id="{874C715F-F44B-4391-81FF-194338C4A1DC}"/>
            </a:ext>
          </a:extLst>
        </xdr:cNvPr>
        <xdr:cNvSpPr txBox="1"/>
      </xdr:nvSpPr>
      <xdr:spPr>
        <a:xfrm>
          <a:off x="6097599" y="2344356"/>
          <a:ext cx="1892022" cy="3112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0" i="0" u="sng" strike="noStrike">
              <a:solidFill>
                <a:srgbClr val="002060"/>
              </a:solidFill>
              <a:latin typeface="Bernard MT Condensed" panose="02050806060905020404" pitchFamily="18" charset="0"/>
              <a:ea typeface="Calibri"/>
              <a:cs typeface="Calibri"/>
            </a:rPr>
            <a:t>Chart Data</a:t>
          </a:r>
        </a:p>
      </xdr:txBody>
    </xdr:sp>
    <xdr:clientData/>
  </xdr:twoCellAnchor>
  <xdr:twoCellAnchor editAs="oneCell">
    <xdr:from>
      <xdr:col>11</xdr:col>
      <xdr:colOff>579612</xdr:colOff>
      <xdr:row>2</xdr:row>
      <xdr:rowOff>109468</xdr:rowOff>
    </xdr:from>
    <xdr:to>
      <xdr:col>13</xdr:col>
      <xdr:colOff>119655</xdr:colOff>
      <xdr:row>6</xdr:row>
      <xdr:rowOff>119681</xdr:rowOff>
    </xdr:to>
    <xdr:pic>
      <xdr:nvPicPr>
        <xdr:cNvPr id="37" name="Graphic 36" descr="Fingerprint with solid fill">
          <a:extLst>
            <a:ext uri="{FF2B5EF4-FFF2-40B4-BE49-F238E27FC236}">
              <a16:creationId xmlns:a16="http://schemas.microsoft.com/office/drawing/2014/main" id="{9554939D-06F0-BD89-F8CD-FB81EB83867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67378" y="482362"/>
          <a:ext cx="756000" cy="756000"/>
        </a:xfrm>
        <a:prstGeom prst="rect">
          <a:avLst/>
        </a:prstGeom>
      </xdr:spPr>
    </xdr:pic>
    <xdr:clientData/>
  </xdr:twoCellAnchor>
  <xdr:twoCellAnchor editAs="oneCell">
    <xdr:from>
      <xdr:col>12</xdr:col>
      <xdr:colOff>32401</xdr:colOff>
      <xdr:row>2</xdr:row>
      <xdr:rowOff>170230</xdr:rowOff>
    </xdr:from>
    <xdr:to>
      <xdr:col>13</xdr:col>
      <xdr:colOff>71313</xdr:colOff>
      <xdr:row>6</xdr:row>
      <xdr:rowOff>81057</xdr:rowOff>
    </xdr:to>
    <xdr:pic>
      <xdr:nvPicPr>
        <xdr:cNvPr id="35" name="Graphic 34" descr="Exclamation mark with solid fill">
          <a:extLst>
            <a:ext uri="{FF2B5EF4-FFF2-40B4-BE49-F238E27FC236}">
              <a16:creationId xmlns:a16="http://schemas.microsoft.com/office/drawing/2014/main" id="{5F771111-3C06-9B56-9E34-E4FD0BD5F4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28146" y="543124"/>
          <a:ext cx="646890" cy="656614"/>
        </a:xfrm>
        <a:prstGeom prst="rect">
          <a:avLst/>
        </a:prstGeom>
      </xdr:spPr>
    </xdr:pic>
    <xdr:clientData/>
  </xdr:twoCellAnchor>
  <xdr:twoCellAnchor editAs="oneCell">
    <xdr:from>
      <xdr:col>11</xdr:col>
      <xdr:colOff>89143</xdr:colOff>
      <xdr:row>4</xdr:row>
      <xdr:rowOff>182553</xdr:rowOff>
    </xdr:from>
    <xdr:to>
      <xdr:col>12</xdr:col>
      <xdr:colOff>235058</xdr:colOff>
      <xdr:row>7</xdr:row>
      <xdr:rowOff>154019</xdr:rowOff>
    </xdr:to>
    <xdr:pic>
      <xdr:nvPicPr>
        <xdr:cNvPr id="45" name="Graphic 44" descr="Target Audience with solid fill">
          <a:extLst>
            <a:ext uri="{FF2B5EF4-FFF2-40B4-BE49-F238E27FC236}">
              <a16:creationId xmlns:a16="http://schemas.microsoft.com/office/drawing/2014/main" id="{5B26D378-8B14-0192-C474-2AD0834652C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76909" y="928340"/>
          <a:ext cx="753894" cy="530807"/>
        </a:xfrm>
        <a:prstGeom prst="rect">
          <a:avLst/>
        </a:prstGeom>
      </xdr:spPr>
    </xdr:pic>
    <xdr:clientData/>
  </xdr:twoCellAnchor>
  <xdr:twoCellAnchor editAs="oneCell">
    <xdr:from>
      <xdr:col>11</xdr:col>
      <xdr:colOff>559310</xdr:colOff>
      <xdr:row>5</xdr:row>
      <xdr:rowOff>133789</xdr:rowOff>
    </xdr:from>
    <xdr:to>
      <xdr:col>13</xdr:col>
      <xdr:colOff>124029</xdr:colOff>
      <xdr:row>8</xdr:row>
      <xdr:rowOff>64854</xdr:rowOff>
    </xdr:to>
    <xdr:pic>
      <xdr:nvPicPr>
        <xdr:cNvPr id="49" name="Graphic 48" descr="Lashes with solid fill">
          <a:extLst>
            <a:ext uri="{FF2B5EF4-FFF2-40B4-BE49-F238E27FC236}">
              <a16:creationId xmlns:a16="http://schemas.microsoft.com/office/drawing/2014/main" id="{261E5A22-619F-7860-A560-754FD8BB0AB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9755376">
          <a:off x="7247076" y="1066023"/>
          <a:ext cx="780676" cy="490405"/>
        </a:xfrm>
        <a:prstGeom prst="rect">
          <a:avLst/>
        </a:prstGeom>
      </xdr:spPr>
    </xdr:pic>
    <xdr:clientData/>
  </xdr:twoCellAnchor>
  <xdr:twoCellAnchor>
    <xdr:from>
      <xdr:col>9</xdr:col>
      <xdr:colOff>462042</xdr:colOff>
      <xdr:row>4</xdr:row>
      <xdr:rowOff>137808</xdr:rowOff>
    </xdr:from>
    <xdr:to>
      <xdr:col>10</xdr:col>
      <xdr:colOff>583638</xdr:colOff>
      <xdr:row>8</xdr:row>
      <xdr:rowOff>40532</xdr:rowOff>
    </xdr:to>
    <xdr:sp macro="" textlink="">
      <xdr:nvSpPr>
        <xdr:cNvPr id="50" name="Star: 8 Points 49">
          <a:extLst>
            <a:ext uri="{FF2B5EF4-FFF2-40B4-BE49-F238E27FC236}">
              <a16:creationId xmlns:a16="http://schemas.microsoft.com/office/drawing/2014/main" id="{0C0E9846-849D-5EA1-0C3E-F323928F2F71}"/>
            </a:ext>
          </a:extLst>
        </xdr:cNvPr>
        <xdr:cNvSpPr/>
      </xdr:nvSpPr>
      <xdr:spPr>
        <a:xfrm rot="1042567">
          <a:off x="5933851" y="883595"/>
          <a:ext cx="729574" cy="648511"/>
        </a:xfrm>
        <a:prstGeom prst="star8">
          <a:avLst/>
        </a:prstGeom>
        <a:gradFill flip="none" rotWithShape="1">
          <a:gsLst>
            <a:gs pos="12000">
              <a:srgbClr val="FFFF00"/>
            </a:gs>
            <a:gs pos="45000">
              <a:schemeClr val="bg2">
                <a:lumMod val="75000"/>
              </a:schemeClr>
            </a:gs>
            <a:gs pos="71000">
              <a:srgbClr val="FFFF00"/>
            </a:gs>
          </a:gsLst>
          <a:path path="circle">
            <a:fillToRect l="50000" t="50000" r="50000" b="50000"/>
          </a:path>
          <a:tileRect/>
        </a:gradFill>
        <a:ln w="3175">
          <a:solidFill>
            <a:srgbClr val="FFFF00"/>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a:solidFill>
                <a:schemeClr val="tx2">
                  <a:lumMod val="75000"/>
                </a:schemeClr>
              </a:solidFill>
              <a:prstDash val="solid"/>
            </a:ln>
            <a:solidFill>
              <a:schemeClr val="tx2">
                <a:lumMod val="60000"/>
                <a:lumOff val="40000"/>
              </a:schemeClr>
            </a:solidFill>
            <a:effectLst>
              <a:innerShdw blurRad="177800">
                <a:schemeClr val="accent3">
                  <a:lumMod val="50000"/>
                </a:schemeClr>
              </a:innerShdw>
            </a:effectLst>
          </a:endParaRPr>
        </a:p>
      </xdr:txBody>
    </xdr:sp>
    <xdr:clientData/>
  </xdr:twoCellAnchor>
  <xdr:twoCellAnchor>
    <xdr:from>
      <xdr:col>9</xdr:col>
      <xdr:colOff>541482</xdr:colOff>
      <xdr:row>5</xdr:row>
      <xdr:rowOff>111858</xdr:rowOff>
    </xdr:from>
    <xdr:to>
      <xdr:col>10</xdr:col>
      <xdr:colOff>509504</xdr:colOff>
      <xdr:row>7</xdr:row>
      <xdr:rowOff>72952</xdr:rowOff>
    </xdr:to>
    <xdr:sp macro="" textlink="Chartdata!A5">
      <xdr:nvSpPr>
        <xdr:cNvPr id="52" name="TextBox 51">
          <a:extLst>
            <a:ext uri="{FF2B5EF4-FFF2-40B4-BE49-F238E27FC236}">
              <a16:creationId xmlns:a16="http://schemas.microsoft.com/office/drawing/2014/main" id="{9A39A7D3-192E-4B36-843C-93206101FF77}"/>
            </a:ext>
          </a:extLst>
        </xdr:cNvPr>
        <xdr:cNvSpPr txBox="1"/>
      </xdr:nvSpPr>
      <xdr:spPr>
        <a:xfrm>
          <a:off x="6013291" y="1044092"/>
          <a:ext cx="576000" cy="33398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threePt" dir="t"/>
          </a:scene3d>
          <a:sp3d extrusionH="57150">
            <a:bevelT w="38100" h="38100" prst="relaxedInset"/>
          </a:sp3d>
        </a:bodyPr>
        <a:lstStyle/>
        <a:p>
          <a:pPr algn="ctr"/>
          <a:r>
            <a:rPr lang="en-US" sz="2800" b="1" i="0" u="none" strike="noStrike">
              <a:ln>
                <a:solidFill>
                  <a:schemeClr val="bg1"/>
                </a:solidFill>
              </a:ln>
              <a:solidFill>
                <a:srgbClr val="002060"/>
              </a:solidFill>
              <a:effectLst>
                <a:glow rad="228600">
                  <a:schemeClr val="accent4">
                    <a:satMod val="175000"/>
                    <a:alpha val="40000"/>
                  </a:schemeClr>
                </a:glow>
              </a:effectLst>
              <a:latin typeface="Bernard MT Condensed" panose="02050806060905020404" pitchFamily="18" charset="0"/>
              <a:ea typeface="Calibri"/>
              <a:cs typeface="Calibri"/>
            </a:rPr>
            <a:t>1</a:t>
          </a:r>
        </a:p>
      </xdr:txBody>
    </xdr:sp>
    <xdr:clientData/>
  </xdr:twoCellAnchor>
  <xdr:twoCellAnchor>
    <xdr:from>
      <xdr:col>10</xdr:col>
      <xdr:colOff>8082</xdr:colOff>
      <xdr:row>5</xdr:row>
      <xdr:rowOff>56740</xdr:rowOff>
    </xdr:from>
    <xdr:to>
      <xdr:col>10</xdr:col>
      <xdr:colOff>440082</xdr:colOff>
      <xdr:row>7</xdr:row>
      <xdr:rowOff>115846</xdr:rowOff>
    </xdr:to>
    <xdr:sp macro="" textlink="">
      <xdr:nvSpPr>
        <xdr:cNvPr id="53" name="Oval 52">
          <a:extLst>
            <a:ext uri="{FF2B5EF4-FFF2-40B4-BE49-F238E27FC236}">
              <a16:creationId xmlns:a16="http://schemas.microsoft.com/office/drawing/2014/main" id="{19227672-22FE-18A3-9B13-26159E9F990C}"/>
            </a:ext>
          </a:extLst>
        </xdr:cNvPr>
        <xdr:cNvSpPr/>
      </xdr:nvSpPr>
      <xdr:spPr>
        <a:xfrm>
          <a:off x="6087869" y="988974"/>
          <a:ext cx="432000" cy="432000"/>
        </a:xfrm>
        <a:prstGeom prst="ellipse">
          <a:avLst/>
        </a:prstGeom>
        <a:noFill/>
        <a:ln w="19050" cap="flat" cmpd="sng" algn="ctr">
          <a:solidFill>
            <a:schemeClr val="dk1"/>
          </a:solidFill>
          <a:prstDash val="sysDot"/>
          <a:round/>
          <a:headEnd type="none" w="med" len="med"/>
          <a:tailEnd type="none" w="med" len="med"/>
          <a:extLst>
            <a:ext uri="{C807C97D-BFC1-408E-A445-0C87EB9F89A2}">
              <ask:lineSketchStyleProps xmlns:ask="http://schemas.microsoft.com/office/drawing/2018/sketchyshapes" sd="879248734">
                <a:custGeom>
                  <a:avLst/>
                  <a:gdLst>
                    <a:gd name="connsiteX0" fmla="*/ 0 w 432000"/>
                    <a:gd name="connsiteY0" fmla="*/ 216000 h 432000"/>
                    <a:gd name="connsiteX1" fmla="*/ 216000 w 432000"/>
                    <a:gd name="connsiteY1" fmla="*/ 0 h 432000"/>
                    <a:gd name="connsiteX2" fmla="*/ 432000 w 432000"/>
                    <a:gd name="connsiteY2" fmla="*/ 216000 h 432000"/>
                    <a:gd name="connsiteX3" fmla="*/ 216000 w 432000"/>
                    <a:gd name="connsiteY3" fmla="*/ 432000 h 432000"/>
                    <a:gd name="connsiteX4" fmla="*/ 0 w 432000"/>
                    <a:gd name="connsiteY4" fmla="*/ 216000 h 432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32000" h="432000" extrusionOk="0">
                      <a:moveTo>
                        <a:pt x="0" y="216000"/>
                      </a:moveTo>
                      <a:cubicBezTo>
                        <a:pt x="-4343" y="91599"/>
                        <a:pt x="115240" y="-6729"/>
                        <a:pt x="216000" y="0"/>
                      </a:cubicBezTo>
                      <a:cubicBezTo>
                        <a:pt x="310832" y="13744"/>
                        <a:pt x="437324" y="95117"/>
                        <a:pt x="432000" y="216000"/>
                      </a:cubicBezTo>
                      <a:cubicBezTo>
                        <a:pt x="430276" y="331856"/>
                        <a:pt x="328514" y="453097"/>
                        <a:pt x="216000" y="432000"/>
                      </a:cubicBezTo>
                      <a:cubicBezTo>
                        <a:pt x="115837" y="405608"/>
                        <a:pt x="21902" y="333492"/>
                        <a:pt x="0" y="21600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oshiya Mishra" refreshedDate="45956.556165972223" createdVersion="8" refreshedVersion="8" minRefreshableVersion="3" recordCount="150" xr:uid="{521DEEAE-1644-4509-83F7-D39C7CC82B55}">
  <cacheSource type="worksheet">
    <worksheetSource name="Table1"/>
  </cacheSource>
  <cacheFields count="13">
    <cacheField name="Transaction ID" numFmtId="0">
      <sharedItems count="150">
        <s v="TXN00001"/>
        <s v="TXN00002"/>
        <s v="TXN00003"/>
        <s v="TXN00004"/>
        <s v="TXN00005"/>
        <s v="TXN00006"/>
        <s v="TXN00007"/>
        <s v="TXN00008"/>
        <s v="TXN00009"/>
        <s v="TXN00010"/>
        <s v="TXN00011"/>
        <s v="TXN00012"/>
        <s v="TXN00013"/>
        <s v="TXN00014"/>
        <s v="TXN00015"/>
        <s v="TXN00016"/>
        <s v="TXN00017"/>
        <s v="TXN00018"/>
        <s v="TXN00019"/>
        <s v="TXN00020"/>
        <s v="TXN00021"/>
        <s v="TXN00022"/>
        <s v="TXN00023"/>
        <s v="TXN00024"/>
        <s v="TXN00025"/>
        <s v="TXN00026"/>
        <s v="TXN00027"/>
        <s v="TXN00028"/>
        <s v="TXN00029"/>
        <s v="TXN00030"/>
        <s v="TXN00031"/>
        <s v="TXN00032"/>
        <s v="TXN00033"/>
        <s v="TXN00034"/>
        <s v="TXN00035"/>
        <s v="TXN00036"/>
        <s v="TXN00037"/>
        <s v="TXN00038"/>
        <s v="TXN00039"/>
        <s v="TXN00040"/>
        <s v="TXN00041"/>
        <s v="TXN00042"/>
        <s v="TXN00043"/>
        <s v="TXN00044"/>
        <s v="TXN00045"/>
        <s v="TXN00046"/>
        <s v="TXN00047"/>
        <s v="TXN00048"/>
        <s v="TXN00049"/>
        <s v="TXN00050"/>
        <s v="TXN00051"/>
        <s v="TXN00052"/>
        <s v="TXN00053"/>
        <s v="TXN00054"/>
        <s v="TXN00055"/>
        <s v="TXN00056"/>
        <s v="TXN00057"/>
        <s v="TXN00058"/>
        <s v="TXN00059"/>
        <s v="TXN00060"/>
        <s v="TXN00061"/>
        <s v="TXN00062"/>
        <s v="TXN00063"/>
        <s v="TXN00064"/>
        <s v="TXN00065"/>
        <s v="TXN00066"/>
        <s v="TXN00067"/>
        <s v="TXN00068"/>
        <s v="TXN00069"/>
        <s v="TXN00070"/>
        <s v="TXN00071"/>
        <s v="TXN00072"/>
        <s v="TXN00073"/>
        <s v="TXN00074"/>
        <s v="TXN00075"/>
        <s v="TXN00076"/>
        <s v="TXN00077"/>
        <s v="TXN00078"/>
        <s v="TXN00079"/>
        <s v="TXN00080"/>
        <s v="TXN00081"/>
        <s v="TXN00082"/>
        <s v="TXN00083"/>
        <s v="TXN00084"/>
        <s v="TXN00085"/>
        <s v="TXN00086"/>
        <s v="TXN00087"/>
        <s v="TXN00088"/>
        <s v="TXN00089"/>
        <s v="TXN00090"/>
        <s v="TXN00091"/>
        <s v="TXN00092"/>
        <s v="TXN00093"/>
        <s v="TXN00094"/>
        <s v="TXN00095"/>
        <s v="TXN00096"/>
        <s v="TXN00097"/>
        <s v="TXN00098"/>
        <s v="TXN00099"/>
        <s v="TXN00100"/>
        <s v="TXN00101"/>
        <s v="TXN00102"/>
        <s v="TXN00103"/>
        <s v="TXN00104"/>
        <s v="TXN00105"/>
        <s v="TXN00106"/>
        <s v="TXN00107"/>
        <s v="TXN00108"/>
        <s v="TXN00109"/>
        <s v="TXN00110"/>
        <s v="TXN00111"/>
        <s v="TXN00112"/>
        <s v="TXN00113"/>
        <s v="TXN00114"/>
        <s v="TXN00115"/>
        <s v="TXN00116"/>
        <s v="TXN00117"/>
        <s v="TXN00118"/>
        <s v="TXN00119"/>
        <s v="TXN00120"/>
        <s v="TXN00121"/>
        <s v="TXN00122"/>
        <s v="TXN00123"/>
        <s v="TXN00124"/>
        <s v="TXN00125"/>
        <s v="TXN00126"/>
        <s v="TXN00127"/>
        <s v="TXN00128"/>
        <s v="TXN00129"/>
        <s v="TXN00130"/>
        <s v="TXN00131"/>
        <s v="TXN00132"/>
        <s v="TXN00133"/>
        <s v="TXN00134"/>
        <s v="TXN00135"/>
        <s v="TXN00136"/>
        <s v="TXN00137"/>
        <s v="TXN00138"/>
        <s v="TXN00139"/>
        <s v="TXN00140"/>
        <s v="TXN00141"/>
        <s v="TXN00142"/>
        <s v="TXN00143"/>
        <s v="TXN00144"/>
        <s v="TXN00145"/>
        <s v="TXN00146"/>
        <s v="TXN00147"/>
        <s v="TXN00148"/>
        <s v="TXN00149"/>
        <s v="TXN00150"/>
      </sharedItems>
    </cacheField>
    <cacheField name="Amount" numFmtId="164">
      <sharedItems containsSemiMixedTypes="0" containsString="0" containsNumber="1" minValue="132.56" maxValue="14803.96"/>
    </cacheField>
    <cacheField name="Hour of Day" numFmtId="0">
      <sharedItems containsSemiMixedTypes="0" containsString="0" containsNumber="1" containsInteger="1" minValue="0" maxValue="23" count="24">
        <n v="0"/>
        <n v="18"/>
        <n v="1"/>
        <n v="20"/>
        <n v="11"/>
        <n v="5"/>
        <n v="22"/>
        <n v="3"/>
        <n v="10"/>
        <n v="23"/>
        <n v="16"/>
        <n v="4"/>
        <n v="19"/>
        <n v="21"/>
        <n v="15"/>
        <n v="8"/>
        <n v="2"/>
        <n v="6"/>
        <n v="7"/>
        <n v="17"/>
        <n v="9"/>
        <n v="13"/>
        <n v="12"/>
        <n v="14"/>
      </sharedItems>
    </cacheField>
    <cacheField name="Country" numFmtId="0">
      <sharedItems count="14">
        <s v="UK"/>
        <s v="Germany"/>
        <s v="Syria"/>
        <s v="Pakistan"/>
        <s v="Canada"/>
        <s v="Netherlands"/>
        <s v="Bangladesh"/>
        <s v="USA"/>
        <s v="Australia"/>
        <s v="Nigeria"/>
        <s v="Singapore"/>
        <s v="Japan"/>
        <s v="North Korea"/>
        <s v="Iran"/>
      </sharedItems>
    </cacheField>
    <cacheField name="Customer Age2" numFmtId="0">
      <sharedItems count="6">
        <s v="46-55"/>
        <s v="36-45"/>
        <s v="65+"/>
        <s v="26-35"/>
        <s v="18-25"/>
        <s v="56-65"/>
      </sharedItems>
    </cacheField>
    <cacheField name="Prior High-Risk Transactions" numFmtId="0">
      <sharedItems containsSemiMixedTypes="0" containsString="0" containsNumber="1" containsInteger="1" minValue="0" maxValue="9"/>
    </cacheField>
    <cacheField name="Transaction Date" numFmtId="0">
      <sharedItems count="25">
        <s v="10/21/2025"/>
        <s v="10/04/2025"/>
        <s v="10/01/2025"/>
        <s v="10/24/2025"/>
        <s v="10/09/2025"/>
        <s v="10/08/2025"/>
        <s v="10/05/2025"/>
        <s v="10/22/2025"/>
        <s v="10/18/2025"/>
        <s v="10/03/2025"/>
        <s v="10/19/2025"/>
        <s v="10/14/2025"/>
        <s v="10/02/2025"/>
        <s v="10/07/2025"/>
        <s v="10/17/2025"/>
        <s v="10/20/2025"/>
        <s v="10/23/2025"/>
        <s v="10/15/2025"/>
        <s v="10/25/2025"/>
        <s v="10/06/2025"/>
        <s v="10/11/2025"/>
        <s v="10/13/2025"/>
        <s v="10/12/2025"/>
        <s v="10/10/2025"/>
        <s v="10/16/2025"/>
      </sharedItems>
    </cacheField>
    <cacheField name="High-Risk Country" numFmtId="0">
      <sharedItems containsSemiMixedTypes="0" containsString="0" containsNumber="1" containsInteger="1" minValue="0" maxValue="1"/>
    </cacheField>
    <cacheField name="Late Night Flag" numFmtId="0">
      <sharedItems containsSemiMixedTypes="0" containsString="0" containsNumber="1" containsInteger="1" minValue="0" maxValue="1"/>
    </cacheField>
    <cacheField name="Amount Flag" numFmtId="0">
      <sharedItems containsSemiMixedTypes="0" containsString="0" containsNumber="1" containsInteger="1" minValue="0" maxValue="1"/>
    </cacheField>
    <cacheField name="Prior Risk Flag" numFmtId="0">
      <sharedItems containsSemiMixedTypes="0" containsString="0" containsNumber="1" containsInteger="1" minValue="0" maxValue="1"/>
    </cacheField>
    <cacheField name="Risk Score" numFmtId="1">
      <sharedItems containsSemiMixedTypes="0" containsString="0" containsNumber="1" containsInteger="1" minValue="0" maxValue="14" count="10">
        <n v="2"/>
        <n v="7"/>
        <n v="0"/>
        <n v="12"/>
        <n v="5"/>
        <n v="4"/>
        <n v="14"/>
        <n v="1"/>
        <n v="3"/>
        <n v="6"/>
      </sharedItems>
    </cacheField>
    <cacheField name="Risk Level" numFmtId="0">
      <sharedItems count="4">
        <s v="LOW"/>
        <s v="HIGH"/>
        <s v="CRITICAL"/>
        <s v="MEDIUM"/>
      </sharedItems>
    </cacheField>
  </cacheFields>
  <extLst>
    <ext xmlns:x14="http://schemas.microsoft.com/office/spreadsheetml/2009/9/main" uri="{725AE2AE-9491-48be-B2B4-4EB974FC3084}">
      <x14:pivotCacheDefinition pivotCacheId="2054819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n v="5649.37"/>
    <x v="0"/>
    <x v="0"/>
    <x v="0"/>
    <n v="6"/>
    <x v="0"/>
    <n v="0"/>
    <n v="0"/>
    <n v="1"/>
    <n v="1"/>
    <x v="0"/>
    <x v="0"/>
  </r>
  <r>
    <x v="1"/>
    <n v="14263.18"/>
    <x v="0"/>
    <x v="1"/>
    <x v="1"/>
    <n v="8"/>
    <x v="1"/>
    <n v="0"/>
    <n v="0"/>
    <n v="1"/>
    <n v="1"/>
    <x v="0"/>
    <x v="0"/>
  </r>
  <r>
    <x v="2"/>
    <n v="10993.31"/>
    <x v="1"/>
    <x v="2"/>
    <x v="2"/>
    <n v="6"/>
    <x v="2"/>
    <n v="1"/>
    <n v="0"/>
    <n v="1"/>
    <n v="1"/>
    <x v="1"/>
    <x v="1"/>
  </r>
  <r>
    <x v="3"/>
    <n v="8999.94"/>
    <x v="2"/>
    <x v="1"/>
    <x v="3"/>
    <n v="4"/>
    <x v="3"/>
    <n v="0"/>
    <n v="0"/>
    <n v="1"/>
    <n v="1"/>
    <x v="2"/>
    <x v="0"/>
  </r>
  <r>
    <x v="4"/>
    <n v="2382.48"/>
    <x v="3"/>
    <x v="3"/>
    <x v="2"/>
    <n v="9"/>
    <x v="4"/>
    <n v="1"/>
    <n v="0"/>
    <n v="0"/>
    <n v="1"/>
    <x v="0"/>
    <x v="0"/>
  </r>
  <r>
    <x v="5"/>
    <n v="2382.12"/>
    <x v="4"/>
    <x v="4"/>
    <x v="4"/>
    <n v="9"/>
    <x v="5"/>
    <n v="0"/>
    <n v="0"/>
    <n v="0"/>
    <n v="1"/>
    <x v="0"/>
    <x v="0"/>
  </r>
  <r>
    <x v="6"/>
    <n v="918.35"/>
    <x v="5"/>
    <x v="5"/>
    <x v="0"/>
    <n v="6"/>
    <x v="5"/>
    <n v="0"/>
    <n v="1"/>
    <n v="0"/>
    <n v="1"/>
    <x v="0"/>
    <x v="0"/>
  </r>
  <r>
    <x v="7"/>
    <n v="12999.33"/>
    <x v="6"/>
    <x v="4"/>
    <x v="0"/>
    <n v="9"/>
    <x v="6"/>
    <n v="0"/>
    <n v="0"/>
    <n v="1"/>
    <n v="1"/>
    <x v="0"/>
    <x v="0"/>
  </r>
  <r>
    <x v="8"/>
    <n v="9036.67"/>
    <x v="7"/>
    <x v="6"/>
    <x v="2"/>
    <n v="4"/>
    <x v="3"/>
    <n v="1"/>
    <n v="1"/>
    <n v="1"/>
    <n v="1"/>
    <x v="3"/>
    <x v="2"/>
  </r>
  <r>
    <x v="9"/>
    <n v="10635.69"/>
    <x v="6"/>
    <x v="2"/>
    <x v="0"/>
    <n v="2"/>
    <x v="1"/>
    <n v="1"/>
    <n v="0"/>
    <n v="1"/>
    <n v="0"/>
    <x v="4"/>
    <x v="3"/>
  </r>
  <r>
    <x v="10"/>
    <n v="357.74"/>
    <x v="8"/>
    <x v="7"/>
    <x v="3"/>
    <n v="6"/>
    <x v="7"/>
    <n v="0"/>
    <n v="0"/>
    <n v="0"/>
    <n v="1"/>
    <x v="0"/>
    <x v="0"/>
  </r>
  <r>
    <x v="11"/>
    <n v="14550.15"/>
    <x v="9"/>
    <x v="6"/>
    <x v="2"/>
    <n v="1"/>
    <x v="3"/>
    <n v="1"/>
    <n v="0"/>
    <n v="1"/>
    <n v="0"/>
    <x v="4"/>
    <x v="3"/>
  </r>
  <r>
    <x v="12"/>
    <n v="12495.02"/>
    <x v="10"/>
    <x v="8"/>
    <x v="1"/>
    <n v="8"/>
    <x v="8"/>
    <n v="0"/>
    <n v="0"/>
    <n v="1"/>
    <n v="1"/>
    <x v="0"/>
    <x v="0"/>
  </r>
  <r>
    <x v="13"/>
    <n v="3224.47"/>
    <x v="5"/>
    <x v="1"/>
    <x v="2"/>
    <n v="9"/>
    <x v="9"/>
    <n v="0"/>
    <n v="1"/>
    <n v="0"/>
    <n v="1"/>
    <x v="5"/>
    <x v="3"/>
  </r>
  <r>
    <x v="14"/>
    <n v="2768.28"/>
    <x v="9"/>
    <x v="6"/>
    <x v="0"/>
    <n v="9"/>
    <x v="10"/>
    <n v="1"/>
    <n v="0"/>
    <n v="0"/>
    <n v="1"/>
    <x v="0"/>
    <x v="0"/>
  </r>
  <r>
    <x v="15"/>
    <n v="2791.9"/>
    <x v="11"/>
    <x v="1"/>
    <x v="4"/>
    <n v="0"/>
    <x v="11"/>
    <n v="0"/>
    <n v="1"/>
    <n v="0"/>
    <n v="0"/>
    <x v="2"/>
    <x v="0"/>
  </r>
  <r>
    <x v="16"/>
    <n v="4598.42"/>
    <x v="12"/>
    <x v="9"/>
    <x v="2"/>
    <n v="5"/>
    <x v="12"/>
    <n v="1"/>
    <n v="0"/>
    <n v="0"/>
    <n v="1"/>
    <x v="5"/>
    <x v="3"/>
  </r>
  <r>
    <x v="17"/>
    <n v="7895.11"/>
    <x v="2"/>
    <x v="4"/>
    <x v="4"/>
    <n v="6"/>
    <x v="2"/>
    <n v="0"/>
    <n v="0"/>
    <n v="1"/>
    <n v="1"/>
    <x v="0"/>
    <x v="0"/>
  </r>
  <r>
    <x v="18"/>
    <n v="6507.58"/>
    <x v="5"/>
    <x v="9"/>
    <x v="5"/>
    <n v="7"/>
    <x v="9"/>
    <n v="1"/>
    <n v="1"/>
    <n v="1"/>
    <n v="1"/>
    <x v="6"/>
    <x v="2"/>
  </r>
  <r>
    <x v="19"/>
    <n v="4403.88"/>
    <x v="13"/>
    <x v="0"/>
    <x v="4"/>
    <n v="9"/>
    <x v="13"/>
    <n v="0"/>
    <n v="0"/>
    <n v="0"/>
    <n v="1"/>
    <x v="0"/>
    <x v="0"/>
  </r>
  <r>
    <x v="20"/>
    <n v="9197.2000000000007"/>
    <x v="8"/>
    <x v="8"/>
    <x v="3"/>
    <n v="8"/>
    <x v="5"/>
    <n v="0"/>
    <n v="0"/>
    <n v="1"/>
    <n v="1"/>
    <x v="0"/>
    <x v="0"/>
  </r>
  <r>
    <x v="21"/>
    <n v="2135.4299999999998"/>
    <x v="14"/>
    <x v="2"/>
    <x v="1"/>
    <n v="1"/>
    <x v="14"/>
    <n v="1"/>
    <n v="0"/>
    <n v="0"/>
    <n v="0"/>
    <x v="2"/>
    <x v="0"/>
  </r>
  <r>
    <x v="22"/>
    <n v="4417.5600000000004"/>
    <x v="14"/>
    <x v="7"/>
    <x v="3"/>
    <n v="9"/>
    <x v="15"/>
    <n v="0"/>
    <n v="0"/>
    <n v="0"/>
    <n v="1"/>
    <x v="0"/>
    <x v="0"/>
  </r>
  <r>
    <x v="23"/>
    <n v="5527.11"/>
    <x v="0"/>
    <x v="10"/>
    <x v="2"/>
    <n v="1"/>
    <x v="2"/>
    <n v="0"/>
    <n v="0"/>
    <n v="1"/>
    <n v="0"/>
    <x v="2"/>
    <x v="0"/>
  </r>
  <r>
    <x v="24"/>
    <n v="6868.25"/>
    <x v="15"/>
    <x v="1"/>
    <x v="4"/>
    <n v="4"/>
    <x v="8"/>
    <n v="0"/>
    <n v="0"/>
    <n v="1"/>
    <n v="1"/>
    <x v="2"/>
    <x v="0"/>
  </r>
  <r>
    <x v="25"/>
    <n v="11788.38"/>
    <x v="5"/>
    <x v="7"/>
    <x v="2"/>
    <n v="4"/>
    <x v="13"/>
    <n v="0"/>
    <n v="1"/>
    <n v="1"/>
    <n v="1"/>
    <x v="0"/>
    <x v="0"/>
  </r>
  <r>
    <x v="26"/>
    <n v="3035.12"/>
    <x v="14"/>
    <x v="1"/>
    <x v="1"/>
    <n v="5"/>
    <x v="16"/>
    <n v="0"/>
    <n v="0"/>
    <n v="0"/>
    <n v="1"/>
    <x v="0"/>
    <x v="0"/>
  </r>
  <r>
    <x v="27"/>
    <n v="7737.8"/>
    <x v="16"/>
    <x v="3"/>
    <x v="0"/>
    <n v="2"/>
    <x v="0"/>
    <n v="1"/>
    <n v="1"/>
    <n v="1"/>
    <n v="0"/>
    <x v="3"/>
    <x v="2"/>
  </r>
  <r>
    <x v="28"/>
    <n v="8906.6"/>
    <x v="12"/>
    <x v="6"/>
    <x v="1"/>
    <n v="7"/>
    <x v="16"/>
    <n v="1"/>
    <n v="0"/>
    <n v="1"/>
    <n v="1"/>
    <x v="1"/>
    <x v="1"/>
  </r>
  <r>
    <x v="29"/>
    <n v="744.43"/>
    <x v="7"/>
    <x v="0"/>
    <x v="1"/>
    <n v="0"/>
    <x v="8"/>
    <n v="0"/>
    <n v="1"/>
    <n v="0"/>
    <n v="0"/>
    <x v="2"/>
    <x v="0"/>
  </r>
  <r>
    <x v="30"/>
    <n v="9132.7999999999993"/>
    <x v="1"/>
    <x v="4"/>
    <x v="1"/>
    <n v="5"/>
    <x v="11"/>
    <n v="0"/>
    <n v="0"/>
    <n v="1"/>
    <n v="1"/>
    <x v="0"/>
    <x v="0"/>
  </r>
  <r>
    <x v="31"/>
    <n v="2599.34"/>
    <x v="16"/>
    <x v="10"/>
    <x v="3"/>
    <n v="3"/>
    <x v="5"/>
    <n v="0"/>
    <n v="1"/>
    <n v="0"/>
    <n v="1"/>
    <x v="2"/>
    <x v="0"/>
  </r>
  <r>
    <x v="32"/>
    <n v="1022.52"/>
    <x v="1"/>
    <x v="11"/>
    <x v="2"/>
    <n v="0"/>
    <x v="17"/>
    <n v="0"/>
    <n v="0"/>
    <n v="0"/>
    <n v="0"/>
    <x v="2"/>
    <x v="0"/>
  </r>
  <r>
    <x v="33"/>
    <n v="14235.84"/>
    <x v="12"/>
    <x v="1"/>
    <x v="0"/>
    <n v="6"/>
    <x v="10"/>
    <n v="0"/>
    <n v="0"/>
    <n v="1"/>
    <n v="1"/>
    <x v="0"/>
    <x v="0"/>
  </r>
  <r>
    <x v="34"/>
    <n v="14486.2"/>
    <x v="17"/>
    <x v="7"/>
    <x v="2"/>
    <n v="8"/>
    <x v="4"/>
    <n v="0"/>
    <n v="0"/>
    <n v="1"/>
    <n v="1"/>
    <x v="0"/>
    <x v="0"/>
  </r>
  <r>
    <x v="35"/>
    <n v="12135.54"/>
    <x v="12"/>
    <x v="0"/>
    <x v="0"/>
    <n v="3"/>
    <x v="2"/>
    <n v="0"/>
    <n v="0"/>
    <n v="1"/>
    <n v="1"/>
    <x v="2"/>
    <x v="0"/>
  </r>
  <r>
    <x v="36"/>
    <n v="4603.9799999999996"/>
    <x v="15"/>
    <x v="12"/>
    <x v="0"/>
    <n v="3"/>
    <x v="18"/>
    <n v="1"/>
    <n v="0"/>
    <n v="0"/>
    <n v="1"/>
    <x v="0"/>
    <x v="0"/>
  </r>
  <r>
    <x v="37"/>
    <n v="1510.2"/>
    <x v="0"/>
    <x v="10"/>
    <x v="2"/>
    <n v="5"/>
    <x v="19"/>
    <n v="0"/>
    <n v="0"/>
    <n v="0"/>
    <n v="1"/>
    <x v="0"/>
    <x v="0"/>
  </r>
  <r>
    <x v="38"/>
    <n v="10279.280000000001"/>
    <x v="18"/>
    <x v="12"/>
    <x v="2"/>
    <n v="2"/>
    <x v="16"/>
    <n v="1"/>
    <n v="0"/>
    <n v="1"/>
    <n v="0"/>
    <x v="4"/>
    <x v="3"/>
  </r>
  <r>
    <x v="39"/>
    <n v="6630.28"/>
    <x v="17"/>
    <x v="9"/>
    <x v="5"/>
    <n v="5"/>
    <x v="11"/>
    <n v="1"/>
    <n v="0"/>
    <n v="1"/>
    <n v="1"/>
    <x v="1"/>
    <x v="1"/>
  </r>
  <r>
    <x v="40"/>
    <n v="1874.47"/>
    <x v="19"/>
    <x v="4"/>
    <x v="0"/>
    <n v="6"/>
    <x v="20"/>
    <n v="0"/>
    <n v="0"/>
    <n v="0"/>
    <n v="1"/>
    <x v="0"/>
    <x v="0"/>
  </r>
  <r>
    <x v="41"/>
    <n v="7452.89"/>
    <x v="18"/>
    <x v="5"/>
    <x v="3"/>
    <n v="9"/>
    <x v="4"/>
    <n v="0"/>
    <n v="0"/>
    <n v="1"/>
    <n v="1"/>
    <x v="0"/>
    <x v="0"/>
  </r>
  <r>
    <x v="42"/>
    <n v="564.11"/>
    <x v="0"/>
    <x v="5"/>
    <x v="4"/>
    <n v="9"/>
    <x v="6"/>
    <n v="0"/>
    <n v="0"/>
    <n v="0"/>
    <n v="1"/>
    <x v="0"/>
    <x v="0"/>
  </r>
  <r>
    <x v="43"/>
    <n v="13644.34"/>
    <x v="8"/>
    <x v="11"/>
    <x v="4"/>
    <n v="2"/>
    <x v="13"/>
    <n v="0"/>
    <n v="0"/>
    <n v="1"/>
    <n v="0"/>
    <x v="7"/>
    <x v="0"/>
  </r>
  <r>
    <x v="44"/>
    <n v="3918.76"/>
    <x v="19"/>
    <x v="3"/>
    <x v="0"/>
    <n v="6"/>
    <x v="18"/>
    <n v="1"/>
    <n v="0"/>
    <n v="0"/>
    <n v="1"/>
    <x v="5"/>
    <x v="3"/>
  </r>
  <r>
    <x v="45"/>
    <n v="9954.7099999999991"/>
    <x v="6"/>
    <x v="7"/>
    <x v="5"/>
    <n v="2"/>
    <x v="20"/>
    <n v="0"/>
    <n v="0"/>
    <n v="1"/>
    <n v="0"/>
    <x v="2"/>
    <x v="0"/>
  </r>
  <r>
    <x v="46"/>
    <n v="4710.08"/>
    <x v="20"/>
    <x v="11"/>
    <x v="3"/>
    <n v="1"/>
    <x v="1"/>
    <n v="0"/>
    <n v="0"/>
    <n v="0"/>
    <n v="0"/>
    <x v="2"/>
    <x v="0"/>
  </r>
  <r>
    <x v="47"/>
    <n v="7825.02"/>
    <x v="16"/>
    <x v="6"/>
    <x v="5"/>
    <n v="9"/>
    <x v="9"/>
    <n v="1"/>
    <n v="1"/>
    <n v="1"/>
    <n v="1"/>
    <x v="6"/>
    <x v="2"/>
  </r>
  <r>
    <x v="48"/>
    <n v="8223.32"/>
    <x v="17"/>
    <x v="6"/>
    <x v="5"/>
    <n v="3"/>
    <x v="21"/>
    <n v="1"/>
    <n v="0"/>
    <n v="1"/>
    <n v="1"/>
    <x v="4"/>
    <x v="3"/>
  </r>
  <r>
    <x v="49"/>
    <n v="2813.57"/>
    <x v="14"/>
    <x v="7"/>
    <x v="0"/>
    <n v="7"/>
    <x v="1"/>
    <n v="0"/>
    <n v="0"/>
    <n v="0"/>
    <n v="1"/>
    <x v="0"/>
    <x v="0"/>
  </r>
  <r>
    <x v="50"/>
    <n v="14545.29"/>
    <x v="14"/>
    <x v="2"/>
    <x v="3"/>
    <n v="8"/>
    <x v="22"/>
    <n v="1"/>
    <n v="0"/>
    <n v="1"/>
    <n v="1"/>
    <x v="1"/>
    <x v="1"/>
  </r>
  <r>
    <x v="51"/>
    <n v="11638.24"/>
    <x v="12"/>
    <x v="3"/>
    <x v="3"/>
    <n v="6"/>
    <x v="22"/>
    <n v="1"/>
    <n v="0"/>
    <n v="1"/>
    <n v="1"/>
    <x v="1"/>
    <x v="1"/>
  </r>
  <r>
    <x v="52"/>
    <n v="14095.51"/>
    <x v="10"/>
    <x v="0"/>
    <x v="0"/>
    <n v="0"/>
    <x v="15"/>
    <n v="0"/>
    <n v="0"/>
    <n v="1"/>
    <n v="0"/>
    <x v="2"/>
    <x v="0"/>
  </r>
  <r>
    <x v="53"/>
    <n v="13427.67"/>
    <x v="2"/>
    <x v="1"/>
    <x v="5"/>
    <n v="2"/>
    <x v="4"/>
    <n v="0"/>
    <n v="0"/>
    <n v="1"/>
    <n v="0"/>
    <x v="2"/>
    <x v="0"/>
  </r>
  <r>
    <x v="54"/>
    <n v="8988.6"/>
    <x v="0"/>
    <x v="5"/>
    <x v="4"/>
    <n v="8"/>
    <x v="12"/>
    <n v="0"/>
    <n v="0"/>
    <n v="1"/>
    <n v="1"/>
    <x v="8"/>
    <x v="0"/>
  </r>
  <r>
    <x v="55"/>
    <n v="13832.02"/>
    <x v="14"/>
    <x v="10"/>
    <x v="2"/>
    <n v="0"/>
    <x v="3"/>
    <n v="0"/>
    <n v="0"/>
    <n v="1"/>
    <n v="0"/>
    <x v="2"/>
    <x v="0"/>
  </r>
  <r>
    <x v="56"/>
    <n v="1372.96"/>
    <x v="4"/>
    <x v="2"/>
    <x v="2"/>
    <n v="8"/>
    <x v="17"/>
    <n v="1"/>
    <n v="0"/>
    <n v="0"/>
    <n v="1"/>
    <x v="0"/>
    <x v="0"/>
  </r>
  <r>
    <x v="57"/>
    <n v="2979.94"/>
    <x v="11"/>
    <x v="1"/>
    <x v="2"/>
    <n v="7"/>
    <x v="8"/>
    <n v="0"/>
    <n v="1"/>
    <n v="0"/>
    <n v="1"/>
    <x v="0"/>
    <x v="0"/>
  </r>
  <r>
    <x v="58"/>
    <n v="726.15"/>
    <x v="11"/>
    <x v="1"/>
    <x v="0"/>
    <n v="0"/>
    <x v="1"/>
    <n v="0"/>
    <n v="1"/>
    <n v="0"/>
    <n v="0"/>
    <x v="2"/>
    <x v="0"/>
  </r>
  <r>
    <x v="59"/>
    <n v="4913.6899999999996"/>
    <x v="6"/>
    <x v="2"/>
    <x v="1"/>
    <n v="5"/>
    <x v="21"/>
    <n v="1"/>
    <n v="0"/>
    <n v="0"/>
    <n v="1"/>
    <x v="5"/>
    <x v="3"/>
  </r>
  <r>
    <x v="60"/>
    <n v="5860.73"/>
    <x v="15"/>
    <x v="9"/>
    <x v="3"/>
    <n v="4"/>
    <x v="9"/>
    <n v="1"/>
    <n v="0"/>
    <n v="1"/>
    <n v="1"/>
    <x v="4"/>
    <x v="3"/>
  </r>
  <r>
    <x v="61"/>
    <n v="4106.67"/>
    <x v="15"/>
    <x v="12"/>
    <x v="1"/>
    <n v="5"/>
    <x v="8"/>
    <n v="1"/>
    <n v="0"/>
    <n v="0"/>
    <n v="1"/>
    <x v="5"/>
    <x v="3"/>
  </r>
  <r>
    <x v="62"/>
    <n v="12439.63"/>
    <x v="16"/>
    <x v="1"/>
    <x v="4"/>
    <n v="9"/>
    <x v="23"/>
    <n v="0"/>
    <n v="1"/>
    <n v="1"/>
    <n v="1"/>
    <x v="5"/>
    <x v="3"/>
  </r>
  <r>
    <x v="63"/>
    <n v="5383.46"/>
    <x v="1"/>
    <x v="2"/>
    <x v="0"/>
    <n v="4"/>
    <x v="0"/>
    <n v="1"/>
    <n v="0"/>
    <n v="1"/>
    <n v="1"/>
    <x v="4"/>
    <x v="3"/>
  </r>
  <r>
    <x v="64"/>
    <n v="4249.97"/>
    <x v="14"/>
    <x v="2"/>
    <x v="1"/>
    <n v="5"/>
    <x v="15"/>
    <n v="1"/>
    <n v="0"/>
    <n v="0"/>
    <n v="1"/>
    <x v="5"/>
    <x v="3"/>
  </r>
  <r>
    <x v="65"/>
    <n v="8163.31"/>
    <x v="14"/>
    <x v="8"/>
    <x v="3"/>
    <n v="4"/>
    <x v="22"/>
    <n v="0"/>
    <n v="0"/>
    <n v="1"/>
    <n v="1"/>
    <x v="2"/>
    <x v="0"/>
  </r>
  <r>
    <x v="66"/>
    <n v="2156.8200000000002"/>
    <x v="16"/>
    <x v="11"/>
    <x v="1"/>
    <n v="4"/>
    <x v="10"/>
    <n v="0"/>
    <n v="1"/>
    <n v="0"/>
    <n v="1"/>
    <x v="2"/>
    <x v="0"/>
  </r>
  <r>
    <x v="67"/>
    <n v="12042.84"/>
    <x v="12"/>
    <x v="13"/>
    <x v="2"/>
    <n v="3"/>
    <x v="13"/>
    <n v="1"/>
    <n v="0"/>
    <n v="1"/>
    <n v="1"/>
    <x v="4"/>
    <x v="3"/>
  </r>
  <r>
    <x v="68"/>
    <n v="1164.53"/>
    <x v="9"/>
    <x v="9"/>
    <x v="0"/>
    <n v="2"/>
    <x v="16"/>
    <n v="1"/>
    <n v="0"/>
    <n v="0"/>
    <n v="0"/>
    <x v="2"/>
    <x v="0"/>
  </r>
  <r>
    <x v="69"/>
    <n v="14803.96"/>
    <x v="13"/>
    <x v="4"/>
    <x v="2"/>
    <n v="2"/>
    <x v="9"/>
    <n v="0"/>
    <n v="0"/>
    <n v="1"/>
    <n v="0"/>
    <x v="2"/>
    <x v="0"/>
  </r>
  <r>
    <x v="70"/>
    <n v="11595.06"/>
    <x v="9"/>
    <x v="13"/>
    <x v="5"/>
    <n v="3"/>
    <x v="12"/>
    <n v="1"/>
    <n v="0"/>
    <n v="1"/>
    <n v="1"/>
    <x v="4"/>
    <x v="3"/>
  </r>
  <r>
    <x v="71"/>
    <n v="3020.8"/>
    <x v="0"/>
    <x v="11"/>
    <x v="4"/>
    <n v="8"/>
    <x v="7"/>
    <n v="0"/>
    <n v="0"/>
    <n v="0"/>
    <n v="1"/>
    <x v="0"/>
    <x v="0"/>
  </r>
  <r>
    <x v="72"/>
    <n v="132.56"/>
    <x v="9"/>
    <x v="11"/>
    <x v="4"/>
    <n v="1"/>
    <x v="5"/>
    <n v="0"/>
    <n v="0"/>
    <n v="0"/>
    <n v="0"/>
    <x v="2"/>
    <x v="0"/>
  </r>
  <r>
    <x v="73"/>
    <n v="12241.15"/>
    <x v="12"/>
    <x v="11"/>
    <x v="2"/>
    <n v="8"/>
    <x v="18"/>
    <n v="0"/>
    <n v="0"/>
    <n v="1"/>
    <n v="1"/>
    <x v="0"/>
    <x v="0"/>
  </r>
  <r>
    <x v="74"/>
    <n v="10617.52"/>
    <x v="8"/>
    <x v="13"/>
    <x v="2"/>
    <n v="0"/>
    <x v="23"/>
    <n v="1"/>
    <n v="0"/>
    <n v="1"/>
    <n v="0"/>
    <x v="4"/>
    <x v="3"/>
  </r>
  <r>
    <x v="75"/>
    <n v="10948.66"/>
    <x v="10"/>
    <x v="7"/>
    <x v="2"/>
    <n v="0"/>
    <x v="9"/>
    <n v="0"/>
    <n v="0"/>
    <n v="1"/>
    <n v="0"/>
    <x v="2"/>
    <x v="0"/>
  </r>
  <r>
    <x v="76"/>
    <n v="11580.49"/>
    <x v="18"/>
    <x v="12"/>
    <x v="5"/>
    <n v="4"/>
    <x v="5"/>
    <n v="1"/>
    <n v="0"/>
    <n v="1"/>
    <n v="1"/>
    <x v="4"/>
    <x v="3"/>
  </r>
  <r>
    <x v="77"/>
    <n v="1156.97"/>
    <x v="7"/>
    <x v="2"/>
    <x v="3"/>
    <n v="5"/>
    <x v="1"/>
    <n v="1"/>
    <n v="1"/>
    <n v="0"/>
    <n v="1"/>
    <x v="0"/>
    <x v="0"/>
  </r>
  <r>
    <x v="78"/>
    <n v="5409.06"/>
    <x v="5"/>
    <x v="10"/>
    <x v="0"/>
    <n v="5"/>
    <x v="21"/>
    <n v="0"/>
    <n v="1"/>
    <n v="1"/>
    <n v="1"/>
    <x v="5"/>
    <x v="3"/>
  </r>
  <r>
    <x v="79"/>
    <n v="1782.24"/>
    <x v="18"/>
    <x v="12"/>
    <x v="2"/>
    <n v="2"/>
    <x v="4"/>
    <n v="1"/>
    <n v="0"/>
    <n v="0"/>
    <n v="0"/>
    <x v="2"/>
    <x v="0"/>
  </r>
  <r>
    <x v="80"/>
    <n v="12953.4"/>
    <x v="12"/>
    <x v="5"/>
    <x v="0"/>
    <n v="6"/>
    <x v="17"/>
    <n v="0"/>
    <n v="0"/>
    <n v="1"/>
    <n v="1"/>
    <x v="0"/>
    <x v="0"/>
  </r>
  <r>
    <x v="81"/>
    <n v="9368.31"/>
    <x v="16"/>
    <x v="3"/>
    <x v="1"/>
    <n v="8"/>
    <x v="0"/>
    <n v="1"/>
    <n v="1"/>
    <n v="1"/>
    <n v="1"/>
    <x v="6"/>
    <x v="2"/>
  </r>
  <r>
    <x v="82"/>
    <n v="4996.93"/>
    <x v="14"/>
    <x v="7"/>
    <x v="1"/>
    <n v="9"/>
    <x v="22"/>
    <n v="0"/>
    <n v="0"/>
    <n v="0"/>
    <n v="1"/>
    <x v="0"/>
    <x v="0"/>
  </r>
  <r>
    <x v="83"/>
    <n v="1000.2"/>
    <x v="16"/>
    <x v="4"/>
    <x v="2"/>
    <n v="7"/>
    <x v="19"/>
    <n v="0"/>
    <n v="1"/>
    <n v="0"/>
    <n v="1"/>
    <x v="0"/>
    <x v="0"/>
  </r>
  <r>
    <x v="84"/>
    <n v="4699.1899999999996"/>
    <x v="19"/>
    <x v="12"/>
    <x v="2"/>
    <n v="5"/>
    <x v="22"/>
    <n v="1"/>
    <n v="0"/>
    <n v="0"/>
    <n v="1"/>
    <x v="5"/>
    <x v="3"/>
  </r>
  <r>
    <x v="85"/>
    <n v="4911.49"/>
    <x v="21"/>
    <x v="10"/>
    <x v="0"/>
    <n v="7"/>
    <x v="22"/>
    <n v="0"/>
    <n v="0"/>
    <n v="0"/>
    <n v="1"/>
    <x v="0"/>
    <x v="0"/>
  </r>
  <r>
    <x v="86"/>
    <n v="10957.61"/>
    <x v="19"/>
    <x v="6"/>
    <x v="3"/>
    <n v="4"/>
    <x v="13"/>
    <n v="1"/>
    <n v="0"/>
    <n v="1"/>
    <n v="1"/>
    <x v="4"/>
    <x v="3"/>
  </r>
  <r>
    <x v="87"/>
    <n v="9581.48"/>
    <x v="2"/>
    <x v="11"/>
    <x v="0"/>
    <n v="7"/>
    <x v="7"/>
    <n v="0"/>
    <n v="0"/>
    <n v="1"/>
    <n v="1"/>
    <x v="0"/>
    <x v="0"/>
  </r>
  <r>
    <x v="88"/>
    <n v="13313.83"/>
    <x v="13"/>
    <x v="1"/>
    <x v="3"/>
    <n v="9"/>
    <x v="4"/>
    <n v="0"/>
    <n v="0"/>
    <n v="1"/>
    <n v="1"/>
    <x v="0"/>
    <x v="0"/>
  </r>
  <r>
    <x v="89"/>
    <n v="7109.61"/>
    <x v="16"/>
    <x v="5"/>
    <x v="1"/>
    <n v="3"/>
    <x v="16"/>
    <n v="0"/>
    <n v="1"/>
    <n v="1"/>
    <n v="1"/>
    <x v="0"/>
    <x v="0"/>
  </r>
  <r>
    <x v="90"/>
    <n v="1837.93"/>
    <x v="14"/>
    <x v="3"/>
    <x v="0"/>
    <n v="9"/>
    <x v="7"/>
    <n v="1"/>
    <n v="0"/>
    <n v="0"/>
    <n v="1"/>
    <x v="0"/>
    <x v="0"/>
  </r>
  <r>
    <x v="91"/>
    <n v="10713.01"/>
    <x v="15"/>
    <x v="9"/>
    <x v="2"/>
    <n v="7"/>
    <x v="0"/>
    <n v="1"/>
    <n v="0"/>
    <n v="1"/>
    <n v="1"/>
    <x v="1"/>
    <x v="1"/>
  </r>
  <r>
    <x v="92"/>
    <n v="11423.74"/>
    <x v="7"/>
    <x v="4"/>
    <x v="0"/>
    <n v="9"/>
    <x v="9"/>
    <n v="0"/>
    <n v="1"/>
    <n v="1"/>
    <n v="1"/>
    <x v="5"/>
    <x v="3"/>
  </r>
  <r>
    <x v="93"/>
    <n v="8441.09"/>
    <x v="0"/>
    <x v="3"/>
    <x v="5"/>
    <n v="1"/>
    <x v="15"/>
    <n v="1"/>
    <n v="0"/>
    <n v="1"/>
    <n v="0"/>
    <x v="4"/>
    <x v="3"/>
  </r>
  <r>
    <x v="94"/>
    <n v="11575.96"/>
    <x v="7"/>
    <x v="11"/>
    <x v="0"/>
    <n v="4"/>
    <x v="0"/>
    <n v="0"/>
    <n v="1"/>
    <n v="1"/>
    <n v="1"/>
    <x v="0"/>
    <x v="0"/>
  </r>
  <r>
    <x v="95"/>
    <n v="7432.24"/>
    <x v="0"/>
    <x v="1"/>
    <x v="3"/>
    <n v="8"/>
    <x v="19"/>
    <n v="0"/>
    <n v="0"/>
    <n v="1"/>
    <n v="1"/>
    <x v="0"/>
    <x v="0"/>
  </r>
  <r>
    <x v="96"/>
    <n v="7864.86"/>
    <x v="21"/>
    <x v="7"/>
    <x v="2"/>
    <n v="3"/>
    <x v="8"/>
    <n v="0"/>
    <n v="0"/>
    <n v="1"/>
    <n v="1"/>
    <x v="2"/>
    <x v="0"/>
  </r>
  <r>
    <x v="97"/>
    <n v="6441.74"/>
    <x v="3"/>
    <x v="1"/>
    <x v="5"/>
    <n v="5"/>
    <x v="3"/>
    <n v="0"/>
    <n v="0"/>
    <n v="1"/>
    <n v="1"/>
    <x v="0"/>
    <x v="0"/>
  </r>
  <r>
    <x v="98"/>
    <n v="430.02"/>
    <x v="14"/>
    <x v="13"/>
    <x v="0"/>
    <n v="0"/>
    <x v="5"/>
    <n v="1"/>
    <n v="0"/>
    <n v="0"/>
    <n v="0"/>
    <x v="2"/>
    <x v="0"/>
  </r>
  <r>
    <x v="99"/>
    <n v="1662.98"/>
    <x v="12"/>
    <x v="1"/>
    <x v="1"/>
    <n v="8"/>
    <x v="19"/>
    <n v="0"/>
    <n v="0"/>
    <n v="0"/>
    <n v="1"/>
    <x v="0"/>
    <x v="0"/>
  </r>
  <r>
    <x v="100"/>
    <n v="519.87"/>
    <x v="9"/>
    <x v="13"/>
    <x v="1"/>
    <n v="0"/>
    <x v="17"/>
    <n v="1"/>
    <n v="0"/>
    <n v="0"/>
    <n v="0"/>
    <x v="2"/>
    <x v="0"/>
  </r>
  <r>
    <x v="101"/>
    <n v="9564.34"/>
    <x v="18"/>
    <x v="5"/>
    <x v="2"/>
    <n v="4"/>
    <x v="21"/>
    <n v="0"/>
    <n v="0"/>
    <n v="1"/>
    <n v="1"/>
    <x v="2"/>
    <x v="0"/>
  </r>
  <r>
    <x v="102"/>
    <n v="4749.62"/>
    <x v="17"/>
    <x v="7"/>
    <x v="0"/>
    <n v="3"/>
    <x v="4"/>
    <n v="0"/>
    <n v="0"/>
    <n v="0"/>
    <n v="1"/>
    <x v="2"/>
    <x v="0"/>
  </r>
  <r>
    <x v="103"/>
    <n v="7653.13"/>
    <x v="16"/>
    <x v="0"/>
    <x v="0"/>
    <n v="2"/>
    <x v="0"/>
    <n v="0"/>
    <n v="1"/>
    <n v="1"/>
    <n v="0"/>
    <x v="0"/>
    <x v="0"/>
  </r>
  <r>
    <x v="104"/>
    <n v="13618.12"/>
    <x v="10"/>
    <x v="11"/>
    <x v="3"/>
    <n v="5"/>
    <x v="16"/>
    <n v="0"/>
    <n v="0"/>
    <n v="1"/>
    <n v="1"/>
    <x v="0"/>
    <x v="0"/>
  </r>
  <r>
    <x v="105"/>
    <n v="3776.92"/>
    <x v="0"/>
    <x v="13"/>
    <x v="2"/>
    <n v="1"/>
    <x v="8"/>
    <n v="1"/>
    <n v="0"/>
    <n v="0"/>
    <n v="0"/>
    <x v="0"/>
    <x v="0"/>
  </r>
  <r>
    <x v="106"/>
    <n v="6185.22"/>
    <x v="14"/>
    <x v="9"/>
    <x v="2"/>
    <n v="2"/>
    <x v="5"/>
    <n v="1"/>
    <n v="0"/>
    <n v="1"/>
    <n v="0"/>
    <x v="4"/>
    <x v="3"/>
  </r>
  <r>
    <x v="107"/>
    <n v="11345.49"/>
    <x v="4"/>
    <x v="1"/>
    <x v="3"/>
    <n v="4"/>
    <x v="7"/>
    <n v="0"/>
    <n v="0"/>
    <n v="1"/>
    <n v="1"/>
    <x v="2"/>
    <x v="0"/>
  </r>
  <r>
    <x v="108"/>
    <n v="3470.53"/>
    <x v="1"/>
    <x v="1"/>
    <x v="1"/>
    <n v="8"/>
    <x v="20"/>
    <n v="0"/>
    <n v="0"/>
    <n v="0"/>
    <n v="1"/>
    <x v="0"/>
    <x v="0"/>
  </r>
  <r>
    <x v="109"/>
    <n v="1200.8499999999999"/>
    <x v="13"/>
    <x v="9"/>
    <x v="1"/>
    <n v="1"/>
    <x v="18"/>
    <n v="1"/>
    <n v="0"/>
    <n v="0"/>
    <n v="0"/>
    <x v="2"/>
    <x v="0"/>
  </r>
  <r>
    <x v="110"/>
    <n v="4381.78"/>
    <x v="6"/>
    <x v="6"/>
    <x v="0"/>
    <n v="9"/>
    <x v="18"/>
    <n v="1"/>
    <n v="0"/>
    <n v="0"/>
    <n v="1"/>
    <x v="5"/>
    <x v="3"/>
  </r>
  <r>
    <x v="111"/>
    <n v="2460.2600000000002"/>
    <x v="13"/>
    <x v="5"/>
    <x v="5"/>
    <n v="7"/>
    <x v="12"/>
    <n v="0"/>
    <n v="0"/>
    <n v="0"/>
    <n v="1"/>
    <x v="0"/>
    <x v="0"/>
  </r>
  <r>
    <x v="112"/>
    <n v="13948.98"/>
    <x v="21"/>
    <x v="2"/>
    <x v="0"/>
    <n v="1"/>
    <x v="5"/>
    <n v="1"/>
    <n v="0"/>
    <n v="1"/>
    <n v="0"/>
    <x v="4"/>
    <x v="3"/>
  </r>
  <r>
    <x v="113"/>
    <n v="12131.4"/>
    <x v="5"/>
    <x v="0"/>
    <x v="3"/>
    <n v="4"/>
    <x v="12"/>
    <n v="0"/>
    <n v="1"/>
    <n v="1"/>
    <n v="1"/>
    <x v="0"/>
    <x v="0"/>
  </r>
  <r>
    <x v="114"/>
    <n v="9519.39"/>
    <x v="5"/>
    <x v="4"/>
    <x v="2"/>
    <n v="6"/>
    <x v="20"/>
    <n v="0"/>
    <n v="1"/>
    <n v="1"/>
    <n v="1"/>
    <x v="5"/>
    <x v="3"/>
  </r>
  <r>
    <x v="115"/>
    <n v="13078.34"/>
    <x v="22"/>
    <x v="10"/>
    <x v="2"/>
    <n v="7"/>
    <x v="21"/>
    <n v="0"/>
    <n v="0"/>
    <n v="1"/>
    <n v="1"/>
    <x v="0"/>
    <x v="0"/>
  </r>
  <r>
    <x v="116"/>
    <n v="12064.9"/>
    <x v="1"/>
    <x v="13"/>
    <x v="1"/>
    <n v="0"/>
    <x v="4"/>
    <n v="1"/>
    <n v="0"/>
    <n v="1"/>
    <n v="0"/>
    <x v="4"/>
    <x v="3"/>
  </r>
  <r>
    <x v="117"/>
    <n v="2839.22"/>
    <x v="13"/>
    <x v="9"/>
    <x v="5"/>
    <n v="5"/>
    <x v="9"/>
    <n v="1"/>
    <n v="0"/>
    <n v="0"/>
    <n v="1"/>
    <x v="0"/>
    <x v="0"/>
  </r>
  <r>
    <x v="118"/>
    <n v="13393.76"/>
    <x v="18"/>
    <x v="10"/>
    <x v="1"/>
    <n v="0"/>
    <x v="13"/>
    <n v="0"/>
    <n v="0"/>
    <n v="1"/>
    <n v="0"/>
    <x v="2"/>
    <x v="0"/>
  </r>
  <r>
    <x v="119"/>
    <n v="8113.17"/>
    <x v="2"/>
    <x v="7"/>
    <x v="1"/>
    <n v="1"/>
    <x v="10"/>
    <n v="0"/>
    <n v="0"/>
    <n v="1"/>
    <n v="0"/>
    <x v="2"/>
    <x v="0"/>
  </r>
  <r>
    <x v="120"/>
    <n v="12121.23"/>
    <x v="3"/>
    <x v="13"/>
    <x v="3"/>
    <n v="0"/>
    <x v="16"/>
    <n v="1"/>
    <n v="0"/>
    <n v="1"/>
    <n v="0"/>
    <x v="4"/>
    <x v="3"/>
  </r>
  <r>
    <x v="121"/>
    <n v="13446.56"/>
    <x v="0"/>
    <x v="2"/>
    <x v="2"/>
    <n v="4"/>
    <x v="20"/>
    <n v="1"/>
    <n v="0"/>
    <n v="1"/>
    <n v="1"/>
    <x v="4"/>
    <x v="3"/>
  </r>
  <r>
    <x v="122"/>
    <n v="4804.1499999999996"/>
    <x v="23"/>
    <x v="10"/>
    <x v="1"/>
    <n v="9"/>
    <x v="13"/>
    <n v="0"/>
    <n v="0"/>
    <n v="0"/>
    <n v="1"/>
    <x v="0"/>
    <x v="0"/>
  </r>
  <r>
    <x v="123"/>
    <n v="1695.28"/>
    <x v="0"/>
    <x v="7"/>
    <x v="2"/>
    <n v="8"/>
    <x v="0"/>
    <n v="0"/>
    <n v="0"/>
    <n v="0"/>
    <n v="1"/>
    <x v="0"/>
    <x v="0"/>
  </r>
  <r>
    <x v="124"/>
    <n v="3457.63"/>
    <x v="11"/>
    <x v="3"/>
    <x v="0"/>
    <n v="5"/>
    <x v="24"/>
    <n v="1"/>
    <n v="1"/>
    <n v="0"/>
    <n v="1"/>
    <x v="9"/>
    <x v="3"/>
  </r>
  <r>
    <x v="125"/>
    <n v="6435.26"/>
    <x v="14"/>
    <x v="11"/>
    <x v="3"/>
    <n v="0"/>
    <x v="21"/>
    <n v="0"/>
    <n v="0"/>
    <n v="1"/>
    <n v="0"/>
    <x v="2"/>
    <x v="0"/>
  </r>
  <r>
    <x v="126"/>
    <n v="12279.32"/>
    <x v="1"/>
    <x v="1"/>
    <x v="2"/>
    <n v="0"/>
    <x v="0"/>
    <n v="0"/>
    <n v="0"/>
    <n v="1"/>
    <n v="0"/>
    <x v="2"/>
    <x v="0"/>
  </r>
  <r>
    <x v="127"/>
    <n v="12917.92"/>
    <x v="7"/>
    <x v="3"/>
    <x v="5"/>
    <n v="1"/>
    <x v="17"/>
    <n v="1"/>
    <n v="1"/>
    <n v="1"/>
    <n v="0"/>
    <x v="3"/>
    <x v="2"/>
  </r>
  <r>
    <x v="128"/>
    <n v="153.93"/>
    <x v="16"/>
    <x v="13"/>
    <x v="1"/>
    <n v="8"/>
    <x v="6"/>
    <n v="1"/>
    <n v="1"/>
    <n v="0"/>
    <n v="1"/>
    <x v="0"/>
    <x v="0"/>
  </r>
  <r>
    <x v="129"/>
    <n v="7685.67"/>
    <x v="10"/>
    <x v="2"/>
    <x v="3"/>
    <n v="2"/>
    <x v="4"/>
    <n v="1"/>
    <n v="0"/>
    <n v="1"/>
    <n v="0"/>
    <x v="4"/>
    <x v="3"/>
  </r>
  <r>
    <x v="130"/>
    <n v="6290.29"/>
    <x v="10"/>
    <x v="0"/>
    <x v="3"/>
    <n v="0"/>
    <x v="6"/>
    <n v="0"/>
    <n v="0"/>
    <n v="1"/>
    <n v="0"/>
    <x v="2"/>
    <x v="0"/>
  </r>
  <r>
    <x v="131"/>
    <n v="3370.51"/>
    <x v="4"/>
    <x v="10"/>
    <x v="4"/>
    <n v="4"/>
    <x v="5"/>
    <n v="0"/>
    <n v="0"/>
    <n v="0"/>
    <n v="1"/>
    <x v="2"/>
    <x v="0"/>
  </r>
  <r>
    <x v="132"/>
    <n v="1841.99"/>
    <x v="21"/>
    <x v="5"/>
    <x v="1"/>
    <n v="6"/>
    <x v="3"/>
    <n v="0"/>
    <n v="0"/>
    <n v="0"/>
    <n v="1"/>
    <x v="0"/>
    <x v="0"/>
  </r>
  <r>
    <x v="133"/>
    <n v="5097.3500000000004"/>
    <x v="3"/>
    <x v="11"/>
    <x v="3"/>
    <n v="5"/>
    <x v="8"/>
    <n v="0"/>
    <n v="0"/>
    <n v="1"/>
    <n v="1"/>
    <x v="0"/>
    <x v="0"/>
  </r>
  <r>
    <x v="134"/>
    <n v="14146.5"/>
    <x v="5"/>
    <x v="13"/>
    <x v="0"/>
    <n v="0"/>
    <x v="8"/>
    <n v="1"/>
    <n v="1"/>
    <n v="1"/>
    <n v="0"/>
    <x v="3"/>
    <x v="2"/>
  </r>
  <r>
    <x v="135"/>
    <n v="4881.88"/>
    <x v="16"/>
    <x v="9"/>
    <x v="2"/>
    <n v="4"/>
    <x v="4"/>
    <n v="1"/>
    <n v="1"/>
    <n v="0"/>
    <n v="1"/>
    <x v="5"/>
    <x v="3"/>
  </r>
  <r>
    <x v="136"/>
    <n v="7805.92"/>
    <x v="15"/>
    <x v="5"/>
    <x v="1"/>
    <n v="4"/>
    <x v="3"/>
    <n v="0"/>
    <n v="0"/>
    <n v="1"/>
    <n v="1"/>
    <x v="2"/>
    <x v="0"/>
  </r>
  <r>
    <x v="137"/>
    <n v="10560.13"/>
    <x v="11"/>
    <x v="5"/>
    <x v="2"/>
    <n v="5"/>
    <x v="10"/>
    <n v="0"/>
    <n v="1"/>
    <n v="1"/>
    <n v="1"/>
    <x v="5"/>
    <x v="3"/>
  </r>
  <r>
    <x v="138"/>
    <n v="5486.26"/>
    <x v="9"/>
    <x v="5"/>
    <x v="5"/>
    <n v="2"/>
    <x v="11"/>
    <n v="0"/>
    <n v="0"/>
    <n v="1"/>
    <n v="0"/>
    <x v="2"/>
    <x v="0"/>
  </r>
  <r>
    <x v="139"/>
    <n v="14578.14"/>
    <x v="10"/>
    <x v="12"/>
    <x v="3"/>
    <n v="4"/>
    <x v="10"/>
    <n v="1"/>
    <n v="0"/>
    <n v="1"/>
    <n v="1"/>
    <x v="4"/>
    <x v="3"/>
  </r>
  <r>
    <x v="140"/>
    <n v="14438.59"/>
    <x v="21"/>
    <x v="13"/>
    <x v="2"/>
    <n v="6"/>
    <x v="21"/>
    <n v="1"/>
    <n v="0"/>
    <n v="1"/>
    <n v="1"/>
    <x v="1"/>
    <x v="1"/>
  </r>
  <r>
    <x v="141"/>
    <n v="3814.15"/>
    <x v="3"/>
    <x v="11"/>
    <x v="4"/>
    <n v="4"/>
    <x v="22"/>
    <n v="0"/>
    <n v="0"/>
    <n v="0"/>
    <n v="1"/>
    <x v="2"/>
    <x v="0"/>
  </r>
  <r>
    <x v="142"/>
    <n v="7483.87"/>
    <x v="16"/>
    <x v="1"/>
    <x v="0"/>
    <n v="4"/>
    <x v="5"/>
    <n v="0"/>
    <n v="1"/>
    <n v="1"/>
    <n v="1"/>
    <x v="0"/>
    <x v="0"/>
  </r>
  <r>
    <x v="143"/>
    <n v="4548.13"/>
    <x v="0"/>
    <x v="1"/>
    <x v="3"/>
    <n v="4"/>
    <x v="6"/>
    <n v="0"/>
    <n v="0"/>
    <n v="0"/>
    <n v="1"/>
    <x v="2"/>
    <x v="0"/>
  </r>
  <r>
    <x v="144"/>
    <n v="4308.37"/>
    <x v="12"/>
    <x v="13"/>
    <x v="1"/>
    <n v="9"/>
    <x v="14"/>
    <n v="1"/>
    <n v="0"/>
    <n v="0"/>
    <n v="1"/>
    <x v="5"/>
    <x v="3"/>
  </r>
  <r>
    <x v="145"/>
    <n v="601.46"/>
    <x v="3"/>
    <x v="7"/>
    <x v="2"/>
    <n v="9"/>
    <x v="24"/>
    <n v="0"/>
    <n v="0"/>
    <n v="0"/>
    <n v="1"/>
    <x v="0"/>
    <x v="0"/>
  </r>
  <r>
    <x v="146"/>
    <n v="9162.99"/>
    <x v="6"/>
    <x v="12"/>
    <x v="2"/>
    <n v="2"/>
    <x v="9"/>
    <n v="1"/>
    <n v="0"/>
    <n v="1"/>
    <n v="0"/>
    <x v="4"/>
    <x v="3"/>
  </r>
  <r>
    <x v="147"/>
    <n v="7565.05"/>
    <x v="0"/>
    <x v="9"/>
    <x v="1"/>
    <n v="0"/>
    <x v="18"/>
    <n v="1"/>
    <n v="0"/>
    <n v="1"/>
    <n v="0"/>
    <x v="4"/>
    <x v="3"/>
  </r>
  <r>
    <x v="148"/>
    <n v="819.61"/>
    <x v="16"/>
    <x v="5"/>
    <x v="0"/>
    <n v="4"/>
    <x v="12"/>
    <n v="0"/>
    <n v="1"/>
    <n v="0"/>
    <n v="1"/>
    <x v="2"/>
    <x v="0"/>
  </r>
  <r>
    <x v="149"/>
    <n v="4215.76"/>
    <x v="19"/>
    <x v="5"/>
    <x v="2"/>
    <n v="8"/>
    <x v="1"/>
    <n v="0"/>
    <n v="0"/>
    <n v="0"/>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4DA33-E37F-48CF-A475-DEFE6E520896}" name="Total Transa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3">
    <pivotField dataField="1" showAll="0"/>
    <pivotField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numFmtId="1" showAll="0"/>
    <pivotField showAll="0">
      <items count="5">
        <item x="2"/>
        <item x="1"/>
        <item x="0"/>
        <item x="3"/>
        <item t="default"/>
      </items>
    </pivotField>
  </pivotFields>
  <rowItems count="1">
    <i/>
  </rowItems>
  <colItems count="1">
    <i/>
  </colItems>
  <dataFields count="1">
    <dataField name="Total Transactions" fld="0" subtotal="count" baseField="0" baseItem="0"/>
  </dataFields>
  <formats count="5">
    <format dxfId="11">
      <pivotArea dataOnly="0" labelOnly="1" outline="0" axis="axisValues"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2478D-550B-48DD-A49E-1DEE14650440}" name="Country 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F19" firstHeaderRow="0" firstDataRow="1" firstDataCol="1"/>
  <pivotFields count="13">
    <pivotField dataField="1" showAll="0"/>
    <pivotField dataField="1" numFmtId="164" showAll="0"/>
    <pivotField showAll="0"/>
    <pivotField axis="axisRow"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dataField="1" numFmtId="1" showAll="0"/>
    <pivotField showAll="0">
      <items count="5">
        <item x="2"/>
        <item x="1"/>
        <item x="0"/>
        <item x="3"/>
        <item t="default"/>
      </items>
    </pivotField>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Risk Score" fld="11" baseField="0" baseItem="0" numFmtId="1"/>
    <dataField name="Count of Transaction ID" fld="0" subtotal="count" baseField="0" baseItem="0"/>
    <dataField name="Sum of Amount" fld="1" baseField="0" baseItem="0" numFmtId="164"/>
  </dataFields>
  <formats count="16">
    <format dxfId="27">
      <pivotArea field="3" type="button" dataOnly="0" labelOnly="1" outline="0" axis="axisRow" fieldPosition="0"/>
    </format>
    <format dxfId="26">
      <pivotArea dataOnly="0" labelOnly="1" outline="0" fieldPosition="0">
        <references count="1">
          <reference field="4294967294" count="3">
            <x v="0"/>
            <x v="1"/>
            <x v="2"/>
          </reference>
        </references>
      </pivotArea>
    </format>
    <format dxfId="25">
      <pivotArea collapsedLevelsAreSubtotals="1" fieldPosition="0">
        <references count="1">
          <reference field="3" count="1">
            <x v="1"/>
          </reference>
        </references>
      </pivotArea>
    </format>
    <format dxfId="24">
      <pivotArea dataOnly="0" labelOnly="1" fieldPosition="0">
        <references count="1">
          <reference field="3" count="1">
            <x v="1"/>
          </reference>
        </references>
      </pivotArea>
    </format>
    <format dxfId="23">
      <pivotArea collapsedLevelsAreSubtotals="1" fieldPosition="0">
        <references count="1">
          <reference field="3" count="1">
            <x v="3"/>
          </reference>
        </references>
      </pivotArea>
    </format>
    <format dxfId="22">
      <pivotArea dataOnly="0" labelOnly="1" fieldPosition="0">
        <references count="1">
          <reference field="3" count="1">
            <x v="3"/>
          </reference>
        </references>
      </pivotArea>
    </format>
    <format dxfId="21">
      <pivotArea collapsedLevelsAreSubtotals="1" fieldPosition="0">
        <references count="1">
          <reference field="3" count="1">
            <x v="5"/>
          </reference>
        </references>
      </pivotArea>
    </format>
    <format dxfId="20">
      <pivotArea dataOnly="0" labelOnly="1" fieldPosition="0">
        <references count="1">
          <reference field="3" count="1">
            <x v="5"/>
          </reference>
        </references>
      </pivotArea>
    </format>
    <format dxfId="19">
      <pivotArea field="3" type="button" dataOnly="0" labelOnly="1" outline="0" axis="axisRow" fieldPosition="0"/>
    </format>
    <format dxfId="18">
      <pivotArea dataOnly="0" labelOnly="1" outline="0" fieldPosition="0">
        <references count="1">
          <reference field="4294967294" count="3">
            <x v="0"/>
            <x v="1"/>
            <x v="2"/>
          </reference>
        </references>
      </pivotArea>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A0C25-8AD0-4CBC-A12D-287645713D80}" name="Average of Risk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dataField="1" numFmtId="1" showAll="0"/>
    <pivotField showAll="0">
      <items count="5">
        <item x="2"/>
        <item x="1"/>
        <item x="0"/>
        <item x="3"/>
        <item t="default"/>
      </items>
    </pivotField>
  </pivotFields>
  <rowItems count="1">
    <i/>
  </rowItems>
  <colItems count="1">
    <i/>
  </colItems>
  <dataFields count="1">
    <dataField name="Average of Risk Score" fld="11" subtotal="average" baseField="0" baseItem="0" numFmtId="1"/>
  </dataFields>
  <formats count="4">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27F4CD-C612-4EC0-9DBB-7AD929159490}" name="High Risk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3">
    <pivotField showAll="0"/>
    <pivotField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dataField="1" showAll="0"/>
    <pivotField showAll="0"/>
    <pivotField showAll="0"/>
    <pivotField showAll="0"/>
    <pivotField numFmtId="1" showAll="0"/>
    <pivotField showAll="0">
      <items count="5">
        <item x="2"/>
        <item x="1"/>
        <item x="0"/>
        <item x="3"/>
        <item t="default"/>
      </items>
    </pivotField>
  </pivotFields>
  <rowItems count="1">
    <i/>
  </rowItems>
  <colItems count="1">
    <i/>
  </colItems>
  <dataFields count="1">
    <dataField name="High Risk Country" fld="7" baseField="0" baseItem="0"/>
  </dataFields>
  <formats count="4">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75129D-6998-4A65-B46F-FADF284AF2AB}" name="Total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3">
    <pivotField showAll="0"/>
    <pivotField dataField="1"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numFmtId="1" showAll="0"/>
    <pivotField showAll="0">
      <items count="5">
        <item x="2"/>
        <item x="1"/>
        <item x="0"/>
        <item x="3"/>
        <item t="default"/>
      </items>
    </pivotField>
  </pivotFields>
  <rowItems count="1">
    <i/>
  </rowItems>
  <colItems count="1">
    <i/>
  </colItems>
  <dataFields count="1">
    <dataField name="Total Amount" fld="1" baseField="0" baseItem="0" numFmtId="164"/>
  </dataFields>
  <formats count="4">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F54762-1008-4919-8706-E028219EA73A}" name="Risk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3">
    <pivotField showAll="0"/>
    <pivotField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numFmtId="1" showAll="0"/>
    <pivotField axis="axisRow" dataField="1" showAll="0">
      <items count="5">
        <item x="2"/>
        <item x="1"/>
        <item x="0"/>
        <item x="3"/>
        <item t="default"/>
      </items>
    </pivotField>
  </pivotFields>
  <rowFields count="1">
    <field x="12"/>
  </rowFields>
  <rowItems count="5">
    <i>
      <x/>
    </i>
    <i>
      <x v="1"/>
    </i>
    <i>
      <x v="2"/>
    </i>
    <i>
      <x v="3"/>
    </i>
    <i t="grand">
      <x/>
    </i>
  </rowItems>
  <colItems count="1">
    <i/>
  </colItems>
  <dataFields count="1">
    <dataField name="Count of Risk Level" fld="12" subtotal="count" baseField="0" baseItem="0"/>
  </dataFields>
  <formats count="6">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outline="0" axis="axisValues" fieldPosition="0"/>
    </format>
  </format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2" count="1" selected="0">
            <x v="0"/>
          </reference>
        </references>
      </pivotArea>
    </chartFormat>
    <chartFormat chart="7" format="12">
      <pivotArea type="data" outline="0" fieldPosition="0">
        <references count="2">
          <reference field="4294967294" count="1" selected="0">
            <x v="0"/>
          </reference>
          <reference field="12" count="1" selected="0">
            <x v="1"/>
          </reference>
        </references>
      </pivotArea>
    </chartFormat>
    <chartFormat chart="7" format="13">
      <pivotArea type="data" outline="0" fieldPosition="0">
        <references count="2">
          <reference field="4294967294" count="1" selected="0">
            <x v="0"/>
          </reference>
          <reference field="12" count="1" selected="0">
            <x v="2"/>
          </reference>
        </references>
      </pivotArea>
    </chartFormat>
    <chartFormat chart="7"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18AADD-9AE1-4725-8986-AC0E50160374}" name="amt by risk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0:B31" firstHeaderRow="1" firstDataRow="1" firstDataCol="1"/>
  <pivotFields count="13">
    <pivotField showAll="0"/>
    <pivotField dataField="1" numFmtId="164" showAll="0"/>
    <pivotField showAll="0"/>
    <pivotField showAll="0">
      <items count="15">
        <item x="8"/>
        <item x="6"/>
        <item x="4"/>
        <item x="1"/>
        <item x="13"/>
        <item x="11"/>
        <item x="5"/>
        <item x="9"/>
        <item x="12"/>
        <item x="3"/>
        <item x="10"/>
        <item x="2"/>
        <item x="0"/>
        <item x="7"/>
        <item t="default"/>
      </items>
    </pivotField>
    <pivotField showAll="0">
      <items count="7">
        <item x="4"/>
        <item x="3"/>
        <item x="1"/>
        <item x="0"/>
        <item x="5"/>
        <item x="2"/>
        <item t="default"/>
      </items>
    </pivotField>
    <pivotField showAll="0"/>
    <pivotField showAll="0"/>
    <pivotField showAll="0"/>
    <pivotField showAll="0"/>
    <pivotField showAll="0"/>
    <pivotField showAll="0"/>
    <pivotField axis="axisRow" numFmtId="1" showAll="0">
      <items count="11">
        <item x="2"/>
        <item x="7"/>
        <item x="0"/>
        <item x="8"/>
        <item x="5"/>
        <item x="4"/>
        <item x="9"/>
        <item x="1"/>
        <item x="3"/>
        <item x="6"/>
        <item t="default"/>
      </items>
    </pivotField>
    <pivotField showAll="0">
      <items count="5">
        <item x="2"/>
        <item x="1"/>
        <item x="0"/>
        <item x="3"/>
        <item t="default"/>
      </items>
    </pivotField>
  </pivotFields>
  <rowFields count="1">
    <field x="11"/>
  </rowFields>
  <rowItems count="11">
    <i>
      <x/>
    </i>
    <i>
      <x v="1"/>
    </i>
    <i>
      <x v="2"/>
    </i>
    <i>
      <x v="3"/>
    </i>
    <i>
      <x v="4"/>
    </i>
    <i>
      <x v="5"/>
    </i>
    <i>
      <x v="6"/>
    </i>
    <i>
      <x v="7"/>
    </i>
    <i>
      <x v="8"/>
    </i>
    <i>
      <x v="9"/>
    </i>
    <i t="grand">
      <x/>
    </i>
  </rowItems>
  <colItems count="1">
    <i/>
  </colItems>
  <dataFields count="1">
    <dataField name="Sum of Amount" fld="1" baseField="0" baseItem="0" numFmtId="164"/>
  </dataFields>
  <formats count="8">
    <format dxfId="53">
      <pivotArea collapsedLevelsAreSubtotals="1" fieldPosition="0">
        <references count="1">
          <reference field="11" count="1">
            <x v="0"/>
          </reference>
        </references>
      </pivotArea>
    </format>
    <format dxfId="52">
      <pivotArea dataOnly="0" labelOnly="1" fieldPosition="0">
        <references count="1">
          <reference field="11" count="1">
            <x v="0"/>
          </reference>
        </references>
      </pivotArea>
    </format>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0"/>
        </references>
      </pivotArea>
    </format>
    <format dxfId="47">
      <pivotArea dataOnly="0" labelOnly="1" grandRow="1" outline="0" fieldPosition="0"/>
    </format>
    <format dxfId="46">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25811BD-D137-4F03-81D6-4F56769FE301}" sourceName="Country">
  <pivotTables>
    <pivotTable tabId="1" name="amt by risk score"/>
    <pivotTable tabId="1" name="Country data"/>
    <pivotTable tabId="1" name="Total Transactions"/>
    <pivotTable tabId="1" name="Average of Risk Score"/>
    <pivotTable tabId="1" name="Total Amount"/>
    <pivotTable tabId="1" name="High Risk Country"/>
    <pivotTable tabId="1" name="Risk level"/>
  </pivotTables>
  <data>
    <tabular pivotCacheId="2054819158">
      <items count="14">
        <i x="8" s="1"/>
        <i x="6" s="1"/>
        <i x="4" s="1"/>
        <i x="1" s="1"/>
        <i x="13" s="1"/>
        <i x="11" s="1"/>
        <i x="5" s="1"/>
        <i x="9" s="1"/>
        <i x="12" s="1"/>
        <i x="3" s="1"/>
        <i x="10" s="1"/>
        <i x="2"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364D86BA-8D4F-456C-90FF-97181B64575E}" sourceName="Risk Level">
  <pivotTables>
    <pivotTable tabId="1" name="amt by risk score"/>
    <pivotTable tabId="1" name="Country data"/>
    <pivotTable tabId="1" name="Total Transactions"/>
    <pivotTable tabId="1" name="Average of Risk Score"/>
    <pivotTable tabId="1" name="Total Amount"/>
    <pivotTable tabId="1" name="High Risk Country"/>
    <pivotTable tabId="1" name="Risk level"/>
  </pivotTables>
  <data>
    <tabular pivotCacheId="205481915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ge2" xr10:uid="{59D06833-11E3-4EA3-900D-F2EA105960F5}" sourceName="Customer Age2">
  <pivotTables>
    <pivotTable tabId="1" name="amt by risk score"/>
    <pivotTable tabId="1" name="Country data"/>
    <pivotTable tabId="1" name="Total Transactions"/>
    <pivotTable tabId="1" name="Average of Risk Score"/>
    <pivotTable tabId="1" name="Total Amount"/>
    <pivotTable tabId="1" name="High Risk Country"/>
    <pivotTable tabId="1" name="Risk level"/>
  </pivotTables>
  <data>
    <tabular pivotCacheId="2054819158">
      <items count="6">
        <i x="4" s="1"/>
        <i x="3" s="1"/>
        <i x="1"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4D5952A-30CC-4121-8799-B2D96C9BD49A}" cache="Slicer_Country" caption="Country" style="Slicer Style 1" rowHeight="234950"/>
  <slicer name="Risk Level" xr10:uid="{6F5AA743-F998-4B40-839E-4AE08AAE4B4A}" cache="Slicer_Risk_Level" caption="Risk Level" style="Slicer Style 1" rowHeight="212400"/>
  <slicer name="Customer Age2" xr10:uid="{191E8198-7AAA-45D8-9671-0D9F4172C487}" cache="Slicer_Customer_Age2" caption="Age" columnCount="2" style="Slicer Style 1" rowHeight="23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932128-A6D5-471D-BCDD-6BFDDCF8E423}" name="Table1" displayName="Table1" ref="A1:M151" totalsRowShown="0" headerRowDxfId="69" headerRowBorderDxfId="68" tableBorderDxfId="67">
  <autoFilter ref="A1:M151" xr:uid="{4C932128-A6D5-471D-BCDD-6BFDDCF8E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A9BB92F-6C8E-4D47-847C-A8EFDB98EA9A}" name="Transaction ID" dataDxfId="66"/>
    <tableColumn id="2" xr3:uid="{940B35AE-0E84-4BA5-8647-CB6458EAAB21}" name="Amount" dataDxfId="65"/>
    <tableColumn id="3" xr3:uid="{2792C215-0A22-4386-9D69-8B192B931A24}" name="Hour of Day" dataDxfId="64"/>
    <tableColumn id="4" xr3:uid="{ACC7C6FC-5B86-4FD3-9E29-271C7A9A7FF3}" name="Country" dataDxfId="63"/>
    <tableColumn id="15" xr3:uid="{DE5071AC-7AF1-46A4-8C74-242BDD14DB7D}" name="Customer Age2" dataDxfId="62">
      <calculatedColumnFormula array="1">_xlfn.IFS(AND(W2&gt;=18,W2&lt;=25),"18-25",AND(W2&gt;25,W2&lt;=35),"26-35",AND(W2&gt;35,W2&lt;=45),"36-45",AND(W2&gt;45,W2&lt;=55),"46-55",AND(W2&gt;55,W2&lt;=65),"56-65",W2&gt;65,"65+")</calculatedColumnFormula>
    </tableColumn>
    <tableColumn id="6" xr3:uid="{00D00625-6FBD-423D-85AA-9B62B5A274B1}" name="Prior High-Risk Transactions" dataDxfId="61"/>
    <tableColumn id="7" xr3:uid="{F91F7996-9934-4D81-929C-409B05470437}" name="Transaction Date" dataDxfId="60"/>
    <tableColumn id="8" xr3:uid="{3A80451C-57B1-472D-932F-C1F3CE096D48}" name="High-Risk Country" dataDxfId="59">
      <calculatedColumnFormula>IF(OR(D2="Nigeria",D2="Bangladesh",D2="Pakistan",D2="North Korea",D2="Iran",D2="Syria"),1,0)</calculatedColumnFormula>
    </tableColumn>
    <tableColumn id="9" xr3:uid="{84BD040B-115D-4BBB-8B8D-2D10D4E79441}" name="Late Night Flag" dataDxfId="58">
      <calculatedColumnFormula>IF(AND(C2&gt;=2,C2&lt;=5),1,0)</calculatedColumnFormula>
    </tableColumn>
    <tableColumn id="10" xr3:uid="{F08E805D-E570-4137-BBDB-B1579B12DF6A}" name="Amount Flag" dataDxfId="57">
      <calculatedColumnFormula>IF(B2&gt;5000,1,0)</calculatedColumnFormula>
    </tableColumn>
    <tableColumn id="11" xr3:uid="{4E77F8B3-3B09-4263-A931-A613203563CD}" name="Prior Risk Flag" dataDxfId="56">
      <calculatedColumnFormula>IF(F2&gt;=3,1,0)</calculatedColumnFormula>
    </tableColumn>
    <tableColumn id="12" xr3:uid="{080E9125-04C7-41E8-A8C5-CB7462465793}" name="Risk Score" dataDxfId="55">
      <calculatedColumnFormula>IF(AND(B2&gt;5000,C2&gt;=2,C2&lt;=5,H2=1),5,0) + IF(AND(B2&gt;5000,H2=1),3,0) + IF(AND(C2&gt;=2,C2&lt;=5,B2&gt;3000),2,0) + IF(F2&gt;=5,2,0) + IF(AND(W2&lt;25,B2&gt;8000),1,0) + IF(AND(H2=1,B2&gt;3000),2,0)</calculatedColumnFormula>
    </tableColumn>
    <tableColumn id="13" xr3:uid="{2BFF080A-A716-4AB7-94A1-F02E2BBEDADB}" name="Risk Level" dataDxfId="54">
      <calculatedColumnFormula>IF(L2&gt;=10,"CRITICAL",IF(L2&gt;=7,"HIGH",IF(L2&gt;=4,"MEDIUM","LOW")))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EC550BC-680E-4476-A794-1B0C79187919}">
  <we:reference id="wa200005502" version="1.0.0.12" store="en-US" storeType="OMEX"/>
  <we:alternateReferences>
    <we:reference id="wa200005502" version="1.0.0.12" store="" storeType="OMEX"/>
  </we:alternateReferences>
  <we:properties>
    <we:property name="docId" value="&quot;T6L9aBZKxKW9ceX0-byT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1893895-D993-4C3C-8C8D-AD892B613271}">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CE3E-BDE1-4467-891D-CD94AD224E76}">
  <dimension ref="B45:H45"/>
  <sheetViews>
    <sheetView tabSelected="1" zoomScale="108" workbookViewId="0">
      <selection activeCell="P11" sqref="P11"/>
    </sheetView>
  </sheetViews>
  <sheetFormatPr defaultRowHeight="14.4" x14ac:dyDescent="0.3"/>
  <sheetData>
    <row r="45" spans="2:8" ht="21" x14ac:dyDescent="0.3">
      <c r="B45" s="38"/>
      <c r="C45" s="39"/>
      <c r="D45" s="39"/>
      <c r="E45" s="39"/>
      <c r="F45" s="39"/>
      <c r="G45" s="39"/>
      <c r="H45" s="39"/>
    </row>
  </sheetData>
  <mergeCells count="1">
    <mergeCell ref="B45:H45"/>
  </mergeCells>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51"/>
  <sheetViews>
    <sheetView zoomScale="111" workbookViewId="0">
      <pane ySplit="1" topLeftCell="A2" activePane="bottomLeft" state="frozen"/>
      <selection pane="bottomLeft" activeCell="O128" sqref="O128"/>
    </sheetView>
  </sheetViews>
  <sheetFormatPr defaultRowHeight="14.4" x14ac:dyDescent="0.3"/>
  <cols>
    <col min="1" max="1" width="13.21875" customWidth="1"/>
    <col min="2" max="2" width="10" customWidth="1"/>
    <col min="3" max="3" width="8.109375" style="11" customWidth="1"/>
    <col min="4" max="4" width="11.6640625" customWidth="1"/>
    <col min="5" max="5" width="9.33203125" style="11" customWidth="1"/>
    <col min="6" max="6" width="11.33203125" style="11" customWidth="1"/>
    <col min="7" max="7" width="10.77734375" customWidth="1"/>
    <col min="8" max="8" width="10.109375" style="11" customWidth="1"/>
    <col min="9" max="9" width="7.33203125" style="11" customWidth="1"/>
    <col min="10" max="10" width="8.77734375" style="11" customWidth="1"/>
    <col min="11" max="11" width="9.5546875" style="11" customWidth="1"/>
    <col min="12" max="12" width="9.5546875" customWidth="1"/>
    <col min="13" max="13" width="10.5546875" customWidth="1"/>
    <col min="23" max="23" width="15.21875" customWidth="1"/>
  </cols>
  <sheetData>
    <row r="1" spans="1:23" s="14" customFormat="1" ht="48" customHeight="1" x14ac:dyDescent="0.3">
      <c r="A1" s="13" t="s">
        <v>11</v>
      </c>
      <c r="B1" s="13" t="s">
        <v>12</v>
      </c>
      <c r="C1" s="13" t="s">
        <v>13</v>
      </c>
      <c r="D1" s="13" t="s">
        <v>14</v>
      </c>
      <c r="E1" s="13" t="s">
        <v>259</v>
      </c>
      <c r="F1" s="13" t="s">
        <v>16</v>
      </c>
      <c r="G1" s="13" t="s">
        <v>17</v>
      </c>
      <c r="H1" s="13" t="s">
        <v>18</v>
      </c>
      <c r="I1" s="13" t="s">
        <v>19</v>
      </c>
      <c r="J1" s="13" t="s">
        <v>20</v>
      </c>
      <c r="K1" s="13" t="s">
        <v>21</v>
      </c>
      <c r="L1" s="13" t="s">
        <v>22</v>
      </c>
      <c r="M1" s="13" t="s">
        <v>23</v>
      </c>
      <c r="W1" s="13" t="s">
        <v>15</v>
      </c>
    </row>
    <row r="2" spans="1:23" x14ac:dyDescent="0.3">
      <c r="A2" s="3" t="s">
        <v>24</v>
      </c>
      <c r="B2" s="5">
        <v>5649.37</v>
      </c>
      <c r="C2" s="34">
        <v>0</v>
      </c>
      <c r="D2" s="3" t="s">
        <v>25</v>
      </c>
      <c r="E2" s="34" t="str" cm="1">
        <f t="array" ref="E2">_xlfn.IFS(AND(W2&gt;=18,W2&lt;=25),"18-25",AND(W2&gt;25,W2&lt;=35),"26-35",AND(W2&gt;35,W2&lt;=45),"36-45",AND(W2&gt;45,W2&lt;=55),"46-55",AND(W2&gt;55,W2&lt;=65),"56-65",W2&gt;65,"65+")</f>
        <v>46-55</v>
      </c>
      <c r="F2" s="34">
        <v>6</v>
      </c>
      <c r="G2" s="3" t="s">
        <v>26</v>
      </c>
      <c r="H2" s="34">
        <f t="shared" ref="H2:H33" si="0">IF(OR(D2="Nigeria",D2="Bangladesh",D2="Pakistan",D2="North Korea",D2="Iran",D2="Syria"),1,0)</f>
        <v>0</v>
      </c>
      <c r="I2" s="34">
        <f t="shared" ref="I2:I33" si="1">IF(AND(C2&gt;=2,C2&lt;=5),1,0)</f>
        <v>0</v>
      </c>
      <c r="J2" s="34">
        <f t="shared" ref="J2:J33" si="2">IF(B2&gt;5000,1,0)</f>
        <v>1</v>
      </c>
      <c r="K2" s="34">
        <f t="shared" ref="K2:K33" si="3">IF(F2&gt;=3,1,0)</f>
        <v>1</v>
      </c>
      <c r="L2" s="35">
        <f t="shared" ref="L2:L33" si="4">IF(AND(B2&gt;5000,C2&gt;=2,C2&lt;=5,H2=1),5,0) + IF(AND(B2&gt;5000,H2=1),3,0) + IF(AND(C2&gt;=2,C2&lt;=5,B2&gt;3000),2,0) + IF(F2&gt;=5,2,0) + IF(AND(W2&lt;25,B2&gt;8000),1,0) + IF(AND(H2=1,B2&gt;3000),2,0)</f>
        <v>2</v>
      </c>
      <c r="M2" s="36" t="str">
        <f t="shared" ref="M2:M33" si="5">IF(L2&gt;=10,"CRITICAL",IF(L2&gt;=7,"HIGH",IF(L2&gt;=4,"MEDIUM","LOW")))</f>
        <v>LOW</v>
      </c>
      <c r="W2">
        <v>54</v>
      </c>
    </row>
    <row r="3" spans="1:23" x14ac:dyDescent="0.3">
      <c r="A3" s="3" t="s">
        <v>27</v>
      </c>
      <c r="B3" s="5">
        <v>14263.18</v>
      </c>
      <c r="C3" s="34">
        <v>0</v>
      </c>
      <c r="D3" s="3" t="s">
        <v>28</v>
      </c>
      <c r="E3" s="34" t="str" cm="1">
        <f t="array" ref="E3">_xlfn.IFS(AND(W3&gt;=18,W3&lt;=25),"18-25",AND(W3&gt;25,W3&lt;=35),"26-35",AND(W3&gt;35,W3&lt;=45),"36-45",AND(W3&gt;45,W3&lt;=55),"46-55",AND(W3&gt;55,W3&lt;=65),"56-65",W3&gt;65,"65+")</f>
        <v>36-45</v>
      </c>
      <c r="F3" s="34">
        <v>8</v>
      </c>
      <c r="G3" s="3" t="s">
        <v>29</v>
      </c>
      <c r="H3" s="34">
        <f t="shared" si="0"/>
        <v>0</v>
      </c>
      <c r="I3" s="34">
        <f t="shared" si="1"/>
        <v>0</v>
      </c>
      <c r="J3" s="34">
        <f t="shared" si="2"/>
        <v>1</v>
      </c>
      <c r="K3" s="34">
        <f t="shared" si="3"/>
        <v>1</v>
      </c>
      <c r="L3" s="35">
        <f t="shared" si="4"/>
        <v>2</v>
      </c>
      <c r="M3" s="36" t="str">
        <f t="shared" si="5"/>
        <v>LOW</v>
      </c>
      <c r="O3">
        <f>COUNTIF(B:B,M2="CRITICAL")</f>
        <v>0</v>
      </c>
      <c r="W3">
        <v>40</v>
      </c>
    </row>
    <row r="4" spans="1:23" x14ac:dyDescent="0.3">
      <c r="A4" s="3" t="s">
        <v>30</v>
      </c>
      <c r="B4" s="5">
        <v>10993.31</v>
      </c>
      <c r="C4" s="34">
        <v>18</v>
      </c>
      <c r="D4" s="3" t="s">
        <v>31</v>
      </c>
      <c r="E4" s="34" t="str" cm="1">
        <f t="array" ref="E4">_xlfn.IFS(AND(W4&gt;=18,W4&lt;=25),"18-25",AND(W4&gt;25,W4&lt;=35),"26-35",AND(W4&gt;35,W4&lt;=45),"36-45",AND(W4&gt;45,W4&lt;=55),"46-55",AND(W4&gt;55,W4&lt;=65),"56-65",W4&gt;65,"65+")</f>
        <v>65+</v>
      </c>
      <c r="F4" s="34">
        <v>6</v>
      </c>
      <c r="G4" s="3" t="s">
        <v>32</v>
      </c>
      <c r="H4" s="34">
        <f t="shared" si="0"/>
        <v>1</v>
      </c>
      <c r="I4" s="34">
        <f t="shared" si="1"/>
        <v>0</v>
      </c>
      <c r="J4" s="34">
        <f t="shared" si="2"/>
        <v>1</v>
      </c>
      <c r="K4" s="34">
        <f t="shared" si="3"/>
        <v>1</v>
      </c>
      <c r="L4" s="35">
        <f t="shared" si="4"/>
        <v>7</v>
      </c>
      <c r="M4" s="36" t="str">
        <f t="shared" si="5"/>
        <v>HIGH</v>
      </c>
      <c r="W4">
        <v>75</v>
      </c>
    </row>
    <row r="5" spans="1:23" x14ac:dyDescent="0.3">
      <c r="A5" s="3" t="s">
        <v>33</v>
      </c>
      <c r="B5" s="5">
        <v>8999.94</v>
      </c>
      <c r="C5" s="34">
        <v>1</v>
      </c>
      <c r="D5" s="3" t="s">
        <v>28</v>
      </c>
      <c r="E5" s="34" t="str" cm="1">
        <f t="array" ref="E5">_xlfn.IFS(AND(W5&gt;=18,W5&lt;=25),"18-25",AND(W5&gt;25,W5&lt;=35),"26-35",AND(W5&gt;35,W5&lt;=45),"36-45",AND(W5&gt;45,W5&lt;=55),"46-55",AND(W5&gt;55,W5&lt;=65),"56-65",W5&gt;65,"65+")</f>
        <v>26-35</v>
      </c>
      <c r="F5" s="34">
        <v>4</v>
      </c>
      <c r="G5" s="3" t="s">
        <v>34</v>
      </c>
      <c r="H5" s="34">
        <f t="shared" si="0"/>
        <v>0</v>
      </c>
      <c r="I5" s="34">
        <f t="shared" si="1"/>
        <v>0</v>
      </c>
      <c r="J5" s="34">
        <f t="shared" si="2"/>
        <v>1</v>
      </c>
      <c r="K5" s="34">
        <f t="shared" si="3"/>
        <v>1</v>
      </c>
      <c r="L5" s="35">
        <f t="shared" si="4"/>
        <v>0</v>
      </c>
      <c r="M5" s="36" t="str">
        <f t="shared" si="5"/>
        <v>LOW</v>
      </c>
      <c r="W5">
        <v>27</v>
      </c>
    </row>
    <row r="6" spans="1:23" x14ac:dyDescent="0.3">
      <c r="A6" s="3" t="s">
        <v>35</v>
      </c>
      <c r="B6" s="5">
        <v>2382.48</v>
      </c>
      <c r="C6" s="34">
        <v>20</v>
      </c>
      <c r="D6" s="3" t="s">
        <v>36</v>
      </c>
      <c r="E6" s="34" t="str" cm="1">
        <f t="array" ref="E6">_xlfn.IFS(AND(W6&gt;=18,W6&lt;=25),"18-25",AND(W6&gt;25,W6&lt;=35),"26-35",AND(W6&gt;35,W6&lt;=45),"36-45",AND(W6&gt;45,W6&lt;=55),"46-55",AND(W6&gt;55,W6&lt;=65),"56-65",W6&gt;65,"65+")</f>
        <v>65+</v>
      </c>
      <c r="F6" s="34">
        <v>9</v>
      </c>
      <c r="G6" s="3" t="s">
        <v>37</v>
      </c>
      <c r="H6" s="34">
        <f t="shared" si="0"/>
        <v>1</v>
      </c>
      <c r="I6" s="34">
        <f t="shared" si="1"/>
        <v>0</v>
      </c>
      <c r="J6" s="34">
        <f t="shared" si="2"/>
        <v>0</v>
      </c>
      <c r="K6" s="34">
        <f t="shared" si="3"/>
        <v>1</v>
      </c>
      <c r="L6" s="35">
        <f t="shared" si="4"/>
        <v>2</v>
      </c>
      <c r="M6" s="36" t="str">
        <f t="shared" si="5"/>
        <v>LOW</v>
      </c>
      <c r="W6">
        <v>71</v>
      </c>
    </row>
    <row r="7" spans="1:23" x14ac:dyDescent="0.3">
      <c r="A7" s="3" t="s">
        <v>38</v>
      </c>
      <c r="B7" s="5">
        <v>2382.12</v>
      </c>
      <c r="C7" s="34">
        <v>11</v>
      </c>
      <c r="D7" s="3" t="s">
        <v>39</v>
      </c>
      <c r="E7" s="34" t="str" cm="1">
        <f t="array" ref="E7">_xlfn.IFS(AND(W7&gt;=18,W7&lt;=25),"18-25",AND(W7&gt;25,W7&lt;=35),"26-35",AND(W7&gt;35,W7&lt;=45),"36-45",AND(W7&gt;45,W7&lt;=55),"46-55",AND(W7&gt;55,W7&lt;=65),"56-65",W7&gt;65,"65+")</f>
        <v>18-25</v>
      </c>
      <c r="F7" s="34">
        <v>9</v>
      </c>
      <c r="G7" s="3" t="s">
        <v>40</v>
      </c>
      <c r="H7" s="34">
        <f t="shared" si="0"/>
        <v>0</v>
      </c>
      <c r="I7" s="34">
        <f t="shared" si="1"/>
        <v>0</v>
      </c>
      <c r="J7" s="34">
        <f t="shared" si="2"/>
        <v>0</v>
      </c>
      <c r="K7" s="34">
        <f t="shared" si="3"/>
        <v>1</v>
      </c>
      <c r="L7" s="35">
        <f t="shared" si="4"/>
        <v>2</v>
      </c>
      <c r="M7" s="36" t="str">
        <f t="shared" si="5"/>
        <v>LOW</v>
      </c>
      <c r="W7">
        <v>22</v>
      </c>
    </row>
    <row r="8" spans="1:23" x14ac:dyDescent="0.3">
      <c r="A8" s="3" t="s">
        <v>41</v>
      </c>
      <c r="B8" s="5">
        <v>918.35</v>
      </c>
      <c r="C8" s="34">
        <v>5</v>
      </c>
      <c r="D8" s="3" t="s">
        <v>42</v>
      </c>
      <c r="E8" s="34" t="str" cm="1">
        <f t="array" ref="E8">_xlfn.IFS(AND(W8&gt;=18,W8&lt;=25),"18-25",AND(W8&gt;25,W8&lt;=35),"26-35",AND(W8&gt;35,W8&lt;=45),"36-45",AND(W8&gt;45,W8&lt;=55),"46-55",AND(W8&gt;55,W8&lt;=65),"56-65",W8&gt;65,"65+")</f>
        <v>46-55</v>
      </c>
      <c r="F8" s="34">
        <v>6</v>
      </c>
      <c r="G8" s="3" t="s">
        <v>40</v>
      </c>
      <c r="H8" s="34">
        <f t="shared" si="0"/>
        <v>0</v>
      </c>
      <c r="I8" s="34">
        <f t="shared" si="1"/>
        <v>1</v>
      </c>
      <c r="J8" s="34">
        <f t="shared" si="2"/>
        <v>0</v>
      </c>
      <c r="K8" s="34">
        <f t="shared" si="3"/>
        <v>1</v>
      </c>
      <c r="L8" s="35">
        <f t="shared" si="4"/>
        <v>2</v>
      </c>
      <c r="M8" s="36" t="str">
        <f t="shared" si="5"/>
        <v>LOW</v>
      </c>
      <c r="W8">
        <v>53</v>
      </c>
    </row>
    <row r="9" spans="1:23" x14ac:dyDescent="0.3">
      <c r="A9" s="3" t="s">
        <v>43</v>
      </c>
      <c r="B9" s="5">
        <v>12999.33</v>
      </c>
      <c r="C9" s="34">
        <v>22</v>
      </c>
      <c r="D9" s="3" t="s">
        <v>39</v>
      </c>
      <c r="E9" s="34" t="str" cm="1">
        <f t="array" ref="E9">_xlfn.IFS(AND(W9&gt;=18,W9&lt;=25),"18-25",AND(W9&gt;25,W9&lt;=35),"26-35",AND(W9&gt;35,W9&lt;=45),"36-45",AND(W9&gt;45,W9&lt;=55),"46-55",AND(W9&gt;55,W9&lt;=65),"56-65",W9&gt;65,"65+")</f>
        <v>46-55</v>
      </c>
      <c r="F9" s="34">
        <v>9</v>
      </c>
      <c r="G9" s="3" t="s">
        <v>44</v>
      </c>
      <c r="H9" s="34">
        <f t="shared" si="0"/>
        <v>0</v>
      </c>
      <c r="I9" s="34">
        <f t="shared" si="1"/>
        <v>0</v>
      </c>
      <c r="J9" s="34">
        <f t="shared" si="2"/>
        <v>1</v>
      </c>
      <c r="K9" s="34">
        <f t="shared" si="3"/>
        <v>1</v>
      </c>
      <c r="L9" s="35">
        <f t="shared" si="4"/>
        <v>2</v>
      </c>
      <c r="M9" s="36" t="str">
        <f t="shared" si="5"/>
        <v>LOW</v>
      </c>
      <c r="W9">
        <v>51</v>
      </c>
    </row>
    <row r="10" spans="1:23" x14ac:dyDescent="0.3">
      <c r="A10" s="3" t="s">
        <v>45</v>
      </c>
      <c r="B10" s="5">
        <v>9036.67</v>
      </c>
      <c r="C10" s="34">
        <v>3</v>
      </c>
      <c r="D10" s="3" t="s">
        <v>46</v>
      </c>
      <c r="E10" s="34" t="str" cm="1">
        <f t="array" ref="E10">_xlfn.IFS(AND(W10&gt;=18,W10&lt;=25),"18-25",AND(W10&gt;25,W10&lt;=35),"26-35",AND(W10&gt;35,W10&lt;=45),"36-45",AND(W10&gt;45,W10&lt;=55),"46-55",AND(W10&gt;55,W10&lt;=65),"56-65",W10&gt;65,"65+")</f>
        <v>65+</v>
      </c>
      <c r="F10" s="34">
        <v>4</v>
      </c>
      <c r="G10" s="3" t="s">
        <v>34</v>
      </c>
      <c r="H10" s="34">
        <f t="shared" si="0"/>
        <v>1</v>
      </c>
      <c r="I10" s="34">
        <f t="shared" si="1"/>
        <v>1</v>
      </c>
      <c r="J10" s="34">
        <f t="shared" si="2"/>
        <v>1</v>
      </c>
      <c r="K10" s="34">
        <f t="shared" si="3"/>
        <v>1</v>
      </c>
      <c r="L10" s="35">
        <f t="shared" si="4"/>
        <v>12</v>
      </c>
      <c r="M10" s="36" t="str">
        <f t="shared" si="5"/>
        <v>CRITICAL</v>
      </c>
      <c r="W10">
        <v>69</v>
      </c>
    </row>
    <row r="11" spans="1:23" x14ac:dyDescent="0.3">
      <c r="A11" s="3" t="s">
        <v>47</v>
      </c>
      <c r="B11" s="5">
        <v>10635.69</v>
      </c>
      <c r="C11" s="34">
        <v>22</v>
      </c>
      <c r="D11" s="3" t="s">
        <v>31</v>
      </c>
      <c r="E11" s="34" t="str" cm="1">
        <f t="array" ref="E11">_xlfn.IFS(AND(W11&gt;=18,W11&lt;=25),"18-25",AND(W11&gt;25,W11&lt;=35),"26-35",AND(W11&gt;35,W11&lt;=45),"36-45",AND(W11&gt;45,W11&lt;=55),"46-55",AND(W11&gt;55,W11&lt;=65),"56-65",W11&gt;65,"65+")</f>
        <v>46-55</v>
      </c>
      <c r="F11" s="34">
        <v>2</v>
      </c>
      <c r="G11" s="3" t="s">
        <v>29</v>
      </c>
      <c r="H11" s="34">
        <f t="shared" si="0"/>
        <v>1</v>
      </c>
      <c r="I11" s="34">
        <f t="shared" si="1"/>
        <v>0</v>
      </c>
      <c r="J11" s="34">
        <f t="shared" si="2"/>
        <v>1</v>
      </c>
      <c r="K11" s="34">
        <f t="shared" si="3"/>
        <v>0</v>
      </c>
      <c r="L11" s="35">
        <f t="shared" si="4"/>
        <v>5</v>
      </c>
      <c r="M11" s="36" t="str">
        <f t="shared" si="5"/>
        <v>MEDIUM</v>
      </c>
      <c r="W11">
        <v>48</v>
      </c>
    </row>
    <row r="12" spans="1:23" x14ac:dyDescent="0.3">
      <c r="A12" s="3" t="s">
        <v>48</v>
      </c>
      <c r="B12" s="5">
        <v>357.74</v>
      </c>
      <c r="C12" s="34">
        <v>10</v>
      </c>
      <c r="D12" s="3" t="s">
        <v>49</v>
      </c>
      <c r="E12" s="34" t="str" cm="1">
        <f t="array" ref="E12">_xlfn.IFS(AND(W12&gt;=18,W12&lt;=25),"18-25",AND(W12&gt;25,W12&lt;=35),"26-35",AND(W12&gt;35,W12&lt;=45),"36-45",AND(W12&gt;45,W12&lt;=55),"46-55",AND(W12&gt;55,W12&lt;=65),"56-65",W12&gt;65,"65+")</f>
        <v>26-35</v>
      </c>
      <c r="F12" s="34">
        <v>6</v>
      </c>
      <c r="G12" s="3" t="s">
        <v>50</v>
      </c>
      <c r="H12" s="34">
        <f t="shared" si="0"/>
        <v>0</v>
      </c>
      <c r="I12" s="34">
        <f t="shared" si="1"/>
        <v>0</v>
      </c>
      <c r="J12" s="34">
        <f t="shared" si="2"/>
        <v>0</v>
      </c>
      <c r="K12" s="34">
        <f t="shared" si="3"/>
        <v>1</v>
      </c>
      <c r="L12" s="35">
        <f t="shared" si="4"/>
        <v>2</v>
      </c>
      <c r="M12" s="36" t="str">
        <f t="shared" si="5"/>
        <v>LOW</v>
      </c>
      <c r="W12">
        <v>27</v>
      </c>
    </row>
    <row r="13" spans="1:23" x14ac:dyDescent="0.3">
      <c r="A13" s="3" t="s">
        <v>51</v>
      </c>
      <c r="B13" s="5">
        <v>14550.15</v>
      </c>
      <c r="C13" s="34">
        <v>23</v>
      </c>
      <c r="D13" s="3" t="s">
        <v>46</v>
      </c>
      <c r="E13" s="34" t="str" cm="1">
        <f t="array" ref="E13">_xlfn.IFS(AND(W13&gt;=18,W13&lt;=25),"18-25",AND(W13&gt;25,W13&lt;=35),"26-35",AND(W13&gt;35,W13&lt;=45),"36-45",AND(W13&gt;45,W13&lt;=55),"46-55",AND(W13&gt;55,W13&lt;=65),"56-65",W13&gt;65,"65+")</f>
        <v>65+</v>
      </c>
      <c r="F13" s="34">
        <v>1</v>
      </c>
      <c r="G13" s="3" t="s">
        <v>34</v>
      </c>
      <c r="H13" s="34">
        <f t="shared" si="0"/>
        <v>1</v>
      </c>
      <c r="I13" s="34">
        <f t="shared" si="1"/>
        <v>0</v>
      </c>
      <c r="J13" s="34">
        <f t="shared" si="2"/>
        <v>1</v>
      </c>
      <c r="K13" s="34">
        <f t="shared" si="3"/>
        <v>0</v>
      </c>
      <c r="L13" s="35">
        <f t="shared" si="4"/>
        <v>5</v>
      </c>
      <c r="M13" s="36" t="str">
        <f t="shared" si="5"/>
        <v>MEDIUM</v>
      </c>
      <c r="W13">
        <v>75</v>
      </c>
    </row>
    <row r="14" spans="1:23" x14ac:dyDescent="0.3">
      <c r="A14" s="3" t="s">
        <v>52</v>
      </c>
      <c r="B14" s="5">
        <v>12495.02</v>
      </c>
      <c r="C14" s="34">
        <v>16</v>
      </c>
      <c r="D14" s="3" t="s">
        <v>53</v>
      </c>
      <c r="E14" s="34" t="str" cm="1">
        <f t="array" ref="E14">_xlfn.IFS(AND(W14&gt;=18,W14&lt;=25),"18-25",AND(W14&gt;25,W14&lt;=35),"26-35",AND(W14&gt;35,W14&lt;=45),"36-45",AND(W14&gt;45,W14&lt;=55),"46-55",AND(W14&gt;55,W14&lt;=65),"56-65",W14&gt;65,"65+")</f>
        <v>36-45</v>
      </c>
      <c r="F14" s="34">
        <v>8</v>
      </c>
      <c r="G14" s="3" t="s">
        <v>54</v>
      </c>
      <c r="H14" s="34">
        <f t="shared" si="0"/>
        <v>0</v>
      </c>
      <c r="I14" s="34">
        <f t="shared" si="1"/>
        <v>0</v>
      </c>
      <c r="J14" s="34">
        <f t="shared" si="2"/>
        <v>1</v>
      </c>
      <c r="K14" s="34">
        <f t="shared" si="3"/>
        <v>1</v>
      </c>
      <c r="L14" s="35">
        <f t="shared" si="4"/>
        <v>2</v>
      </c>
      <c r="M14" s="36" t="str">
        <f t="shared" si="5"/>
        <v>LOW</v>
      </c>
      <c r="W14">
        <v>36</v>
      </c>
    </row>
    <row r="15" spans="1:23" x14ac:dyDescent="0.3">
      <c r="A15" s="3" t="s">
        <v>55</v>
      </c>
      <c r="B15" s="5">
        <v>3224.47</v>
      </c>
      <c r="C15" s="34">
        <v>5</v>
      </c>
      <c r="D15" s="3" t="s">
        <v>28</v>
      </c>
      <c r="E15" s="34" t="str" cm="1">
        <f t="array" ref="E15">_xlfn.IFS(AND(W15&gt;=18,W15&lt;=25),"18-25",AND(W15&gt;25,W15&lt;=35),"26-35",AND(W15&gt;35,W15&lt;=45),"36-45",AND(W15&gt;45,W15&lt;=55),"46-55",AND(W15&gt;55,W15&lt;=65),"56-65",W15&gt;65,"65+")</f>
        <v>65+</v>
      </c>
      <c r="F15" s="34">
        <v>9</v>
      </c>
      <c r="G15" s="3" t="s">
        <v>56</v>
      </c>
      <c r="H15" s="34">
        <f t="shared" si="0"/>
        <v>0</v>
      </c>
      <c r="I15" s="34">
        <f t="shared" si="1"/>
        <v>1</v>
      </c>
      <c r="J15" s="34">
        <f t="shared" si="2"/>
        <v>0</v>
      </c>
      <c r="K15" s="34">
        <f t="shared" si="3"/>
        <v>1</v>
      </c>
      <c r="L15" s="35">
        <f t="shared" si="4"/>
        <v>4</v>
      </c>
      <c r="M15" s="36" t="str">
        <f t="shared" si="5"/>
        <v>MEDIUM</v>
      </c>
      <c r="O15" s="12"/>
      <c r="W15">
        <v>75</v>
      </c>
    </row>
    <row r="16" spans="1:23" x14ac:dyDescent="0.3">
      <c r="A16" s="3" t="s">
        <v>57</v>
      </c>
      <c r="B16" s="5">
        <v>2768.28</v>
      </c>
      <c r="C16" s="34">
        <v>23</v>
      </c>
      <c r="D16" s="3" t="s">
        <v>46</v>
      </c>
      <c r="E16" s="34" t="str" cm="1">
        <f t="array" ref="E16">_xlfn.IFS(AND(W16&gt;=18,W16&lt;=25),"18-25",AND(W16&gt;25,W16&lt;=35),"26-35",AND(W16&gt;35,W16&lt;=45),"36-45",AND(W16&gt;45,W16&lt;=55),"46-55",AND(W16&gt;55,W16&lt;=65),"56-65",W16&gt;65,"65+")</f>
        <v>46-55</v>
      </c>
      <c r="F16" s="34">
        <v>9</v>
      </c>
      <c r="G16" s="3" t="s">
        <v>58</v>
      </c>
      <c r="H16" s="34">
        <f t="shared" si="0"/>
        <v>1</v>
      </c>
      <c r="I16" s="34">
        <f t="shared" si="1"/>
        <v>0</v>
      </c>
      <c r="J16" s="34">
        <f t="shared" si="2"/>
        <v>0</v>
      </c>
      <c r="K16" s="34">
        <f t="shared" si="3"/>
        <v>1</v>
      </c>
      <c r="L16" s="35">
        <f t="shared" si="4"/>
        <v>2</v>
      </c>
      <c r="M16" s="36" t="str">
        <f t="shared" si="5"/>
        <v>LOW</v>
      </c>
      <c r="W16">
        <v>49</v>
      </c>
    </row>
    <row r="17" spans="1:23" x14ac:dyDescent="0.3">
      <c r="A17" s="3" t="s">
        <v>59</v>
      </c>
      <c r="B17" s="5">
        <v>2791.9</v>
      </c>
      <c r="C17" s="34">
        <v>4</v>
      </c>
      <c r="D17" s="3" t="s">
        <v>28</v>
      </c>
      <c r="E17" s="34" t="str" cm="1">
        <f t="array" ref="E17">_xlfn.IFS(AND(W17&gt;=18,W17&lt;=25),"18-25",AND(W17&gt;25,W17&lt;=35),"26-35",AND(W17&gt;35,W17&lt;=45),"36-45",AND(W17&gt;45,W17&lt;=55),"46-55",AND(W17&gt;55,W17&lt;=65),"56-65",W17&gt;65,"65+")</f>
        <v>18-25</v>
      </c>
      <c r="F17" s="34">
        <v>0</v>
      </c>
      <c r="G17" s="3" t="s">
        <v>60</v>
      </c>
      <c r="H17" s="34">
        <f t="shared" si="0"/>
        <v>0</v>
      </c>
      <c r="I17" s="34">
        <f t="shared" si="1"/>
        <v>1</v>
      </c>
      <c r="J17" s="34">
        <f t="shared" si="2"/>
        <v>0</v>
      </c>
      <c r="K17" s="34">
        <f t="shared" si="3"/>
        <v>0</v>
      </c>
      <c r="L17" s="35">
        <f t="shared" si="4"/>
        <v>0</v>
      </c>
      <c r="M17" s="36" t="str">
        <f t="shared" si="5"/>
        <v>LOW</v>
      </c>
      <c r="W17">
        <v>18</v>
      </c>
    </row>
    <row r="18" spans="1:23" x14ac:dyDescent="0.3">
      <c r="A18" s="3" t="s">
        <v>61</v>
      </c>
      <c r="B18" s="5">
        <v>4598.42</v>
      </c>
      <c r="C18" s="34">
        <v>19</v>
      </c>
      <c r="D18" s="3" t="s">
        <v>62</v>
      </c>
      <c r="E18" s="34" t="str" cm="1">
        <f t="array" ref="E18">_xlfn.IFS(AND(W18&gt;=18,W18&lt;=25),"18-25",AND(W18&gt;25,W18&lt;=35),"26-35",AND(W18&gt;35,W18&lt;=45),"36-45",AND(W18&gt;45,W18&lt;=55),"46-55",AND(W18&gt;55,W18&lt;=65),"56-65",W18&gt;65,"65+")</f>
        <v>65+</v>
      </c>
      <c r="F18" s="34">
        <v>5</v>
      </c>
      <c r="G18" s="3" t="s">
        <v>63</v>
      </c>
      <c r="H18" s="34">
        <f t="shared" si="0"/>
        <v>1</v>
      </c>
      <c r="I18" s="34">
        <f t="shared" si="1"/>
        <v>0</v>
      </c>
      <c r="J18" s="34">
        <f t="shared" si="2"/>
        <v>0</v>
      </c>
      <c r="K18" s="34">
        <f t="shared" si="3"/>
        <v>1</v>
      </c>
      <c r="L18" s="35">
        <f t="shared" si="4"/>
        <v>4</v>
      </c>
      <c r="M18" s="36" t="str">
        <f t="shared" si="5"/>
        <v>MEDIUM</v>
      </c>
      <c r="W18">
        <v>73</v>
      </c>
    </row>
    <row r="19" spans="1:23" x14ac:dyDescent="0.3">
      <c r="A19" s="3" t="s">
        <v>64</v>
      </c>
      <c r="B19" s="5">
        <v>7895.11</v>
      </c>
      <c r="C19" s="34">
        <v>1</v>
      </c>
      <c r="D19" s="3" t="s">
        <v>39</v>
      </c>
      <c r="E19" s="34" t="str" cm="1">
        <f t="array" ref="E19">_xlfn.IFS(AND(W19&gt;=18,W19&lt;=25),"18-25",AND(W19&gt;25,W19&lt;=35),"26-35",AND(W19&gt;35,W19&lt;=45),"36-45",AND(W19&gt;45,W19&lt;=55),"46-55",AND(W19&gt;55,W19&lt;=65),"56-65",W19&gt;65,"65+")</f>
        <v>18-25</v>
      </c>
      <c r="F19" s="34">
        <v>6</v>
      </c>
      <c r="G19" s="3" t="s">
        <v>32</v>
      </c>
      <c r="H19" s="34">
        <f t="shared" si="0"/>
        <v>0</v>
      </c>
      <c r="I19" s="34">
        <f t="shared" si="1"/>
        <v>0</v>
      </c>
      <c r="J19" s="34">
        <f t="shared" si="2"/>
        <v>1</v>
      </c>
      <c r="K19" s="34">
        <f t="shared" si="3"/>
        <v>1</v>
      </c>
      <c r="L19" s="35">
        <f t="shared" si="4"/>
        <v>2</v>
      </c>
      <c r="M19" s="36" t="str">
        <f t="shared" si="5"/>
        <v>LOW</v>
      </c>
      <c r="W19">
        <v>22</v>
      </c>
    </row>
    <row r="20" spans="1:23" x14ac:dyDescent="0.3">
      <c r="A20" s="3" t="s">
        <v>65</v>
      </c>
      <c r="B20" s="5">
        <v>6507.58</v>
      </c>
      <c r="C20" s="34">
        <v>5</v>
      </c>
      <c r="D20" s="3" t="s">
        <v>62</v>
      </c>
      <c r="E20" s="34" t="str" cm="1">
        <f t="array" ref="E20">_xlfn.IFS(AND(W20&gt;=18,W20&lt;=25),"18-25",AND(W20&gt;25,W20&lt;=35),"26-35",AND(W20&gt;35,W20&lt;=45),"36-45",AND(W20&gt;45,W20&lt;=55),"46-55",AND(W20&gt;55,W20&lt;=65),"56-65",W20&gt;65,"65+")</f>
        <v>56-65</v>
      </c>
      <c r="F20" s="34">
        <v>7</v>
      </c>
      <c r="G20" s="3" t="s">
        <v>56</v>
      </c>
      <c r="H20" s="34">
        <f t="shared" si="0"/>
        <v>1</v>
      </c>
      <c r="I20" s="34">
        <f t="shared" si="1"/>
        <v>1</v>
      </c>
      <c r="J20" s="34">
        <f t="shared" si="2"/>
        <v>1</v>
      </c>
      <c r="K20" s="34">
        <f t="shared" si="3"/>
        <v>1</v>
      </c>
      <c r="L20" s="35">
        <f t="shared" si="4"/>
        <v>14</v>
      </c>
      <c r="M20" s="36" t="str">
        <f t="shared" si="5"/>
        <v>CRITICAL</v>
      </c>
      <c r="W20">
        <v>62</v>
      </c>
    </row>
    <row r="21" spans="1:23" x14ac:dyDescent="0.3">
      <c r="A21" s="3" t="s">
        <v>66</v>
      </c>
      <c r="B21" s="5">
        <v>4403.88</v>
      </c>
      <c r="C21" s="34">
        <v>21</v>
      </c>
      <c r="D21" s="3" t="s">
        <v>25</v>
      </c>
      <c r="E21" s="34" t="str" cm="1">
        <f t="array" ref="E21">_xlfn.IFS(AND(W21&gt;=18,W21&lt;=25),"18-25",AND(W21&gt;25,W21&lt;=35),"26-35",AND(W21&gt;35,W21&lt;=45),"36-45",AND(W21&gt;45,W21&lt;=55),"46-55",AND(W21&gt;55,W21&lt;=65),"56-65",W21&gt;65,"65+")</f>
        <v>18-25</v>
      </c>
      <c r="F21" s="34">
        <v>9</v>
      </c>
      <c r="G21" s="3" t="s">
        <v>67</v>
      </c>
      <c r="H21" s="34">
        <f t="shared" si="0"/>
        <v>0</v>
      </c>
      <c r="I21" s="34">
        <f t="shared" si="1"/>
        <v>0</v>
      </c>
      <c r="J21" s="34">
        <f t="shared" si="2"/>
        <v>0</v>
      </c>
      <c r="K21" s="34">
        <f t="shared" si="3"/>
        <v>1</v>
      </c>
      <c r="L21" s="35">
        <f t="shared" si="4"/>
        <v>2</v>
      </c>
      <c r="M21" s="36" t="str">
        <f t="shared" si="5"/>
        <v>LOW</v>
      </c>
      <c r="W21">
        <v>21</v>
      </c>
    </row>
    <row r="22" spans="1:23" x14ac:dyDescent="0.3">
      <c r="A22" s="3" t="s">
        <v>68</v>
      </c>
      <c r="B22" s="5">
        <v>9197.2000000000007</v>
      </c>
      <c r="C22" s="34">
        <v>10</v>
      </c>
      <c r="D22" s="3" t="s">
        <v>53</v>
      </c>
      <c r="E22" s="34" t="str" cm="1">
        <f t="array" ref="E22">_xlfn.IFS(AND(W22&gt;=18,W22&lt;=25),"18-25",AND(W22&gt;25,W22&lt;=35),"26-35",AND(W22&gt;35,W22&lt;=45),"36-45",AND(W22&gt;45,W22&lt;=55),"46-55",AND(W22&gt;55,W22&lt;=65),"56-65",W22&gt;65,"65+")</f>
        <v>26-35</v>
      </c>
      <c r="F22" s="34">
        <v>8</v>
      </c>
      <c r="G22" s="3" t="s">
        <v>40</v>
      </c>
      <c r="H22" s="34">
        <f t="shared" si="0"/>
        <v>0</v>
      </c>
      <c r="I22" s="34">
        <f t="shared" si="1"/>
        <v>0</v>
      </c>
      <c r="J22" s="34">
        <f t="shared" si="2"/>
        <v>1</v>
      </c>
      <c r="K22" s="34">
        <f t="shared" si="3"/>
        <v>1</v>
      </c>
      <c r="L22" s="35">
        <f t="shared" si="4"/>
        <v>2</v>
      </c>
      <c r="M22" s="36" t="str">
        <f t="shared" si="5"/>
        <v>LOW</v>
      </c>
      <c r="W22">
        <v>33</v>
      </c>
    </row>
    <row r="23" spans="1:23" x14ac:dyDescent="0.3">
      <c r="A23" s="3" t="s">
        <v>69</v>
      </c>
      <c r="B23" s="5">
        <v>2135.4299999999998</v>
      </c>
      <c r="C23" s="34">
        <v>15</v>
      </c>
      <c r="D23" s="3" t="s">
        <v>31</v>
      </c>
      <c r="E23" s="34" t="str" cm="1">
        <f t="array" ref="E23">_xlfn.IFS(AND(W23&gt;=18,W23&lt;=25),"18-25",AND(W23&gt;25,W23&lt;=35),"26-35",AND(W23&gt;35,W23&lt;=45),"36-45",AND(W23&gt;45,W23&lt;=55),"46-55",AND(W23&gt;55,W23&lt;=65),"56-65",W23&gt;65,"65+")</f>
        <v>36-45</v>
      </c>
      <c r="F23" s="34">
        <v>1</v>
      </c>
      <c r="G23" s="3" t="s">
        <v>70</v>
      </c>
      <c r="H23" s="34">
        <f t="shared" si="0"/>
        <v>1</v>
      </c>
      <c r="I23" s="34">
        <f t="shared" si="1"/>
        <v>0</v>
      </c>
      <c r="J23" s="34">
        <f t="shared" si="2"/>
        <v>0</v>
      </c>
      <c r="K23" s="34">
        <f t="shared" si="3"/>
        <v>0</v>
      </c>
      <c r="L23" s="35">
        <f t="shared" si="4"/>
        <v>0</v>
      </c>
      <c r="M23" s="36" t="str">
        <f t="shared" si="5"/>
        <v>LOW</v>
      </c>
      <c r="W23">
        <v>41</v>
      </c>
    </row>
    <row r="24" spans="1:23" x14ac:dyDescent="0.3">
      <c r="A24" s="3" t="s">
        <v>71</v>
      </c>
      <c r="B24" s="5">
        <v>4417.5600000000004</v>
      </c>
      <c r="C24" s="34">
        <v>15</v>
      </c>
      <c r="D24" s="3" t="s">
        <v>49</v>
      </c>
      <c r="E24" s="34" t="str" cm="1">
        <f t="array" ref="E24">_xlfn.IFS(AND(W24&gt;=18,W24&lt;=25),"18-25",AND(W24&gt;25,W24&lt;=35),"26-35",AND(W24&gt;35,W24&lt;=45),"36-45",AND(W24&gt;45,W24&lt;=55),"46-55",AND(W24&gt;55,W24&lt;=65),"56-65",W24&gt;65,"65+")</f>
        <v>26-35</v>
      </c>
      <c r="F24" s="34">
        <v>9</v>
      </c>
      <c r="G24" s="3" t="s">
        <v>72</v>
      </c>
      <c r="H24" s="34">
        <f t="shared" si="0"/>
        <v>0</v>
      </c>
      <c r="I24" s="34">
        <f t="shared" si="1"/>
        <v>0</v>
      </c>
      <c r="J24" s="34">
        <f t="shared" si="2"/>
        <v>0</v>
      </c>
      <c r="K24" s="34">
        <f t="shared" si="3"/>
        <v>1</v>
      </c>
      <c r="L24" s="35">
        <f t="shared" si="4"/>
        <v>2</v>
      </c>
      <c r="M24" s="36" t="str">
        <f t="shared" si="5"/>
        <v>LOW</v>
      </c>
      <c r="W24">
        <v>33</v>
      </c>
    </row>
    <row r="25" spans="1:23" x14ac:dyDescent="0.3">
      <c r="A25" s="3" t="s">
        <v>73</v>
      </c>
      <c r="B25" s="5">
        <v>5527.11</v>
      </c>
      <c r="C25" s="34">
        <v>0</v>
      </c>
      <c r="D25" s="3" t="s">
        <v>74</v>
      </c>
      <c r="E25" s="34" t="str" cm="1">
        <f t="array" ref="E25">_xlfn.IFS(AND(W25&gt;=18,W25&lt;=25),"18-25",AND(W25&gt;25,W25&lt;=35),"26-35",AND(W25&gt;35,W25&lt;=45),"36-45",AND(W25&gt;45,W25&lt;=55),"46-55",AND(W25&gt;55,W25&lt;=65),"56-65",W25&gt;65,"65+")</f>
        <v>65+</v>
      </c>
      <c r="F25" s="34">
        <v>1</v>
      </c>
      <c r="G25" s="3" t="s">
        <v>32</v>
      </c>
      <c r="H25" s="34">
        <f t="shared" si="0"/>
        <v>0</v>
      </c>
      <c r="I25" s="34">
        <f t="shared" si="1"/>
        <v>0</v>
      </c>
      <c r="J25" s="34">
        <f t="shared" si="2"/>
        <v>1</v>
      </c>
      <c r="K25" s="34">
        <f t="shared" si="3"/>
        <v>0</v>
      </c>
      <c r="L25" s="35">
        <f t="shared" si="4"/>
        <v>0</v>
      </c>
      <c r="M25" s="36" t="str">
        <f t="shared" si="5"/>
        <v>LOW</v>
      </c>
      <c r="W25">
        <v>72</v>
      </c>
    </row>
    <row r="26" spans="1:23" x14ac:dyDescent="0.3">
      <c r="A26" s="3" t="s">
        <v>75</v>
      </c>
      <c r="B26" s="5">
        <v>6868.25</v>
      </c>
      <c r="C26" s="34">
        <v>8</v>
      </c>
      <c r="D26" s="3" t="s">
        <v>28</v>
      </c>
      <c r="E26" s="34" t="str" cm="1">
        <f t="array" ref="E26">_xlfn.IFS(AND(W26&gt;=18,W26&lt;=25),"18-25",AND(W26&gt;25,W26&lt;=35),"26-35",AND(W26&gt;35,W26&lt;=45),"36-45",AND(W26&gt;45,W26&lt;=55),"46-55",AND(W26&gt;55,W26&lt;=65),"56-65",W26&gt;65,"65+")</f>
        <v>18-25</v>
      </c>
      <c r="F26" s="34">
        <v>4</v>
      </c>
      <c r="G26" s="3" t="s">
        <v>54</v>
      </c>
      <c r="H26" s="34">
        <f t="shared" si="0"/>
        <v>0</v>
      </c>
      <c r="I26" s="34">
        <f t="shared" si="1"/>
        <v>0</v>
      </c>
      <c r="J26" s="34">
        <f t="shared" si="2"/>
        <v>1</v>
      </c>
      <c r="K26" s="34">
        <f t="shared" si="3"/>
        <v>1</v>
      </c>
      <c r="L26" s="35">
        <f t="shared" si="4"/>
        <v>0</v>
      </c>
      <c r="M26" s="36" t="str">
        <f t="shared" si="5"/>
        <v>LOW</v>
      </c>
      <c r="W26">
        <v>19</v>
      </c>
    </row>
    <row r="27" spans="1:23" x14ac:dyDescent="0.3">
      <c r="A27" s="3" t="s">
        <v>76</v>
      </c>
      <c r="B27" s="5">
        <v>11788.38</v>
      </c>
      <c r="C27" s="34">
        <v>5</v>
      </c>
      <c r="D27" s="3" t="s">
        <v>49</v>
      </c>
      <c r="E27" s="34" t="str" cm="1">
        <f t="array" ref="E27">_xlfn.IFS(AND(W27&gt;=18,W27&lt;=25),"18-25",AND(W27&gt;25,W27&lt;=35),"26-35",AND(W27&gt;35,W27&lt;=45),"36-45",AND(W27&gt;45,W27&lt;=55),"46-55",AND(W27&gt;55,W27&lt;=65),"56-65",W27&gt;65,"65+")</f>
        <v>65+</v>
      </c>
      <c r="F27" s="34">
        <v>4</v>
      </c>
      <c r="G27" s="3" t="s">
        <v>67</v>
      </c>
      <c r="H27" s="34">
        <f t="shared" si="0"/>
        <v>0</v>
      </c>
      <c r="I27" s="34">
        <f t="shared" si="1"/>
        <v>1</v>
      </c>
      <c r="J27" s="34">
        <f t="shared" si="2"/>
        <v>1</v>
      </c>
      <c r="K27" s="34">
        <f t="shared" si="3"/>
        <v>1</v>
      </c>
      <c r="L27" s="35">
        <f t="shared" si="4"/>
        <v>2</v>
      </c>
      <c r="M27" s="36" t="str">
        <f t="shared" si="5"/>
        <v>LOW</v>
      </c>
      <c r="W27">
        <v>66</v>
      </c>
    </row>
    <row r="28" spans="1:23" x14ac:dyDescent="0.3">
      <c r="A28" s="3" t="s">
        <v>77</v>
      </c>
      <c r="B28" s="5">
        <v>3035.12</v>
      </c>
      <c r="C28" s="34">
        <v>15</v>
      </c>
      <c r="D28" s="3" t="s">
        <v>28</v>
      </c>
      <c r="E28" s="34" t="str" cm="1">
        <f t="array" ref="E28">_xlfn.IFS(AND(W28&gt;=18,W28&lt;=25),"18-25",AND(W28&gt;25,W28&lt;=35),"26-35",AND(W28&gt;35,W28&lt;=45),"36-45",AND(W28&gt;45,W28&lt;=55),"46-55",AND(W28&gt;55,W28&lt;=65),"56-65",W28&gt;65,"65+")</f>
        <v>36-45</v>
      </c>
      <c r="F28" s="34">
        <v>5</v>
      </c>
      <c r="G28" s="3" t="s">
        <v>78</v>
      </c>
      <c r="H28" s="34">
        <f t="shared" si="0"/>
        <v>0</v>
      </c>
      <c r="I28" s="34">
        <f t="shared" si="1"/>
        <v>0</v>
      </c>
      <c r="J28" s="34">
        <f t="shared" si="2"/>
        <v>0</v>
      </c>
      <c r="K28" s="34">
        <f t="shared" si="3"/>
        <v>1</v>
      </c>
      <c r="L28" s="35">
        <f t="shared" si="4"/>
        <v>2</v>
      </c>
      <c r="M28" s="36" t="str">
        <f t="shared" si="5"/>
        <v>LOW</v>
      </c>
      <c r="W28">
        <v>45</v>
      </c>
    </row>
    <row r="29" spans="1:23" x14ac:dyDescent="0.3">
      <c r="A29" s="3" t="s">
        <v>79</v>
      </c>
      <c r="B29" s="5">
        <v>7737.8</v>
      </c>
      <c r="C29" s="34">
        <v>2</v>
      </c>
      <c r="D29" s="3" t="s">
        <v>36</v>
      </c>
      <c r="E29" s="34" t="str" cm="1">
        <f t="array" ref="E29">_xlfn.IFS(AND(W29&gt;=18,W29&lt;=25),"18-25",AND(W29&gt;25,W29&lt;=35),"26-35",AND(W29&gt;35,W29&lt;=45),"36-45",AND(W29&gt;45,W29&lt;=55),"46-55",AND(W29&gt;55,W29&lt;=65),"56-65",W29&gt;65,"65+")</f>
        <v>46-55</v>
      </c>
      <c r="F29" s="34">
        <v>2</v>
      </c>
      <c r="G29" s="3" t="s">
        <v>26</v>
      </c>
      <c r="H29" s="34">
        <f t="shared" si="0"/>
        <v>1</v>
      </c>
      <c r="I29" s="34">
        <f t="shared" si="1"/>
        <v>1</v>
      </c>
      <c r="J29" s="34">
        <f t="shared" si="2"/>
        <v>1</v>
      </c>
      <c r="K29" s="34">
        <f t="shared" si="3"/>
        <v>0</v>
      </c>
      <c r="L29" s="35">
        <f t="shared" si="4"/>
        <v>12</v>
      </c>
      <c r="M29" s="36" t="str">
        <f t="shared" si="5"/>
        <v>CRITICAL</v>
      </c>
      <c r="W29">
        <v>49</v>
      </c>
    </row>
    <row r="30" spans="1:23" x14ac:dyDescent="0.3">
      <c r="A30" s="3" t="s">
        <v>80</v>
      </c>
      <c r="B30" s="5">
        <v>8906.6</v>
      </c>
      <c r="C30" s="34">
        <v>19</v>
      </c>
      <c r="D30" s="3" t="s">
        <v>46</v>
      </c>
      <c r="E30" s="34" t="str" cm="1">
        <f t="array" ref="E30">_xlfn.IFS(AND(W30&gt;=18,W30&lt;=25),"18-25",AND(W30&gt;25,W30&lt;=35),"26-35",AND(W30&gt;35,W30&lt;=45),"36-45",AND(W30&gt;45,W30&lt;=55),"46-55",AND(W30&gt;55,W30&lt;=65),"56-65",W30&gt;65,"65+")</f>
        <v>36-45</v>
      </c>
      <c r="F30" s="34">
        <v>7</v>
      </c>
      <c r="G30" s="3" t="s">
        <v>78</v>
      </c>
      <c r="H30" s="34">
        <f t="shared" si="0"/>
        <v>1</v>
      </c>
      <c r="I30" s="34">
        <f t="shared" si="1"/>
        <v>0</v>
      </c>
      <c r="J30" s="34">
        <f t="shared" si="2"/>
        <v>1</v>
      </c>
      <c r="K30" s="34">
        <f t="shared" si="3"/>
        <v>1</v>
      </c>
      <c r="L30" s="35">
        <f t="shared" si="4"/>
        <v>7</v>
      </c>
      <c r="M30" s="36" t="str">
        <f t="shared" si="5"/>
        <v>HIGH</v>
      </c>
      <c r="W30">
        <v>44</v>
      </c>
    </row>
    <row r="31" spans="1:23" x14ac:dyDescent="0.3">
      <c r="A31" s="3" t="s">
        <v>81</v>
      </c>
      <c r="B31" s="5">
        <v>744.43</v>
      </c>
      <c r="C31" s="34">
        <v>3</v>
      </c>
      <c r="D31" s="3" t="s">
        <v>25</v>
      </c>
      <c r="E31" s="34" t="str" cm="1">
        <f t="array" ref="E31">_xlfn.IFS(AND(W31&gt;=18,W31&lt;=25),"18-25",AND(W31&gt;25,W31&lt;=35),"26-35",AND(W31&gt;35,W31&lt;=45),"36-45",AND(W31&gt;45,W31&lt;=55),"46-55",AND(W31&gt;55,W31&lt;=65),"56-65",W31&gt;65,"65+")</f>
        <v>36-45</v>
      </c>
      <c r="F31" s="34">
        <v>0</v>
      </c>
      <c r="G31" s="3" t="s">
        <v>54</v>
      </c>
      <c r="H31" s="34">
        <f t="shared" si="0"/>
        <v>0</v>
      </c>
      <c r="I31" s="34">
        <f t="shared" si="1"/>
        <v>1</v>
      </c>
      <c r="J31" s="34">
        <f t="shared" si="2"/>
        <v>0</v>
      </c>
      <c r="K31" s="34">
        <f t="shared" si="3"/>
        <v>0</v>
      </c>
      <c r="L31" s="35">
        <f t="shared" si="4"/>
        <v>0</v>
      </c>
      <c r="M31" s="36" t="str">
        <f t="shared" si="5"/>
        <v>LOW</v>
      </c>
      <c r="W31">
        <v>37</v>
      </c>
    </row>
    <row r="32" spans="1:23" x14ac:dyDescent="0.3">
      <c r="A32" s="3" t="s">
        <v>82</v>
      </c>
      <c r="B32" s="5">
        <v>9132.7999999999993</v>
      </c>
      <c r="C32" s="34">
        <v>18</v>
      </c>
      <c r="D32" s="3" t="s">
        <v>39</v>
      </c>
      <c r="E32" s="34" t="str" cm="1">
        <f t="array" ref="E32">_xlfn.IFS(AND(W32&gt;=18,W32&lt;=25),"18-25",AND(W32&gt;25,W32&lt;=35),"26-35",AND(W32&gt;35,W32&lt;=45),"36-45",AND(W32&gt;45,W32&lt;=55),"46-55",AND(W32&gt;55,W32&lt;=65),"56-65",W32&gt;65,"65+")</f>
        <v>36-45</v>
      </c>
      <c r="F32" s="34">
        <v>5</v>
      </c>
      <c r="G32" s="3" t="s">
        <v>60</v>
      </c>
      <c r="H32" s="34">
        <f t="shared" si="0"/>
        <v>0</v>
      </c>
      <c r="I32" s="34">
        <f t="shared" si="1"/>
        <v>0</v>
      </c>
      <c r="J32" s="34">
        <f t="shared" si="2"/>
        <v>1</v>
      </c>
      <c r="K32" s="34">
        <f t="shared" si="3"/>
        <v>1</v>
      </c>
      <c r="L32" s="35">
        <f t="shared" si="4"/>
        <v>2</v>
      </c>
      <c r="M32" s="36" t="str">
        <f t="shared" si="5"/>
        <v>LOW</v>
      </c>
      <c r="W32">
        <v>41</v>
      </c>
    </row>
    <row r="33" spans="1:23" x14ac:dyDescent="0.3">
      <c r="A33" s="3" t="s">
        <v>83</v>
      </c>
      <c r="B33" s="5">
        <v>2599.34</v>
      </c>
      <c r="C33" s="34">
        <v>2</v>
      </c>
      <c r="D33" s="3" t="s">
        <v>74</v>
      </c>
      <c r="E33" s="34" t="str" cm="1">
        <f t="array" ref="E33">_xlfn.IFS(AND(W33&gt;=18,W33&lt;=25),"18-25",AND(W33&gt;25,W33&lt;=35),"26-35",AND(W33&gt;35,W33&lt;=45),"36-45",AND(W33&gt;45,W33&lt;=55),"46-55",AND(W33&gt;55,W33&lt;=65),"56-65",W33&gt;65,"65+")</f>
        <v>26-35</v>
      </c>
      <c r="F33" s="34">
        <v>3</v>
      </c>
      <c r="G33" s="3" t="s">
        <v>40</v>
      </c>
      <c r="H33" s="34">
        <f t="shared" si="0"/>
        <v>0</v>
      </c>
      <c r="I33" s="34">
        <f t="shared" si="1"/>
        <v>1</v>
      </c>
      <c r="J33" s="34">
        <f t="shared" si="2"/>
        <v>0</v>
      </c>
      <c r="K33" s="34">
        <f t="shared" si="3"/>
        <v>1</v>
      </c>
      <c r="L33" s="35">
        <f t="shared" si="4"/>
        <v>0</v>
      </c>
      <c r="M33" s="36" t="str">
        <f t="shared" si="5"/>
        <v>LOW</v>
      </c>
      <c r="W33">
        <v>29</v>
      </c>
    </row>
    <row r="34" spans="1:23" x14ac:dyDescent="0.3">
      <c r="A34" s="3" t="s">
        <v>84</v>
      </c>
      <c r="B34" s="5">
        <v>1022.52</v>
      </c>
      <c r="C34" s="34">
        <v>18</v>
      </c>
      <c r="D34" s="3" t="s">
        <v>85</v>
      </c>
      <c r="E34" s="34" t="str" cm="1">
        <f t="array" ref="E34">_xlfn.IFS(AND(W34&gt;=18,W34&lt;=25),"18-25",AND(W34&gt;25,W34&lt;=35),"26-35",AND(W34&gt;35,W34&lt;=45),"36-45",AND(W34&gt;45,W34&lt;=55),"46-55",AND(W34&gt;55,W34&lt;=65),"56-65",W34&gt;65,"65+")</f>
        <v>65+</v>
      </c>
      <c r="F34" s="34">
        <v>0</v>
      </c>
      <c r="G34" s="3" t="s">
        <v>86</v>
      </c>
      <c r="H34" s="34">
        <f t="shared" ref="H34:H65" si="6">IF(OR(D34="Nigeria",D34="Bangladesh",D34="Pakistan",D34="North Korea",D34="Iran",D34="Syria"),1,0)</f>
        <v>0</v>
      </c>
      <c r="I34" s="34">
        <f t="shared" ref="I34:I65" si="7">IF(AND(C34&gt;=2,C34&lt;=5),1,0)</f>
        <v>0</v>
      </c>
      <c r="J34" s="34">
        <f t="shared" ref="J34:J65" si="8">IF(B34&gt;5000,1,0)</f>
        <v>0</v>
      </c>
      <c r="K34" s="34">
        <f t="shared" ref="K34:K65" si="9">IF(F34&gt;=3,1,0)</f>
        <v>0</v>
      </c>
      <c r="L34" s="35">
        <f t="shared" ref="L34:L65" si="10">IF(AND(B34&gt;5000,C34&gt;=2,C34&lt;=5,H34=1),5,0) + IF(AND(B34&gt;5000,H34=1),3,0) + IF(AND(C34&gt;=2,C34&lt;=5,B34&gt;3000),2,0) + IF(F34&gt;=5,2,0) + IF(AND(W34&lt;25,B34&gt;8000),1,0) + IF(AND(H34=1,B34&gt;3000),2,0)</f>
        <v>0</v>
      </c>
      <c r="M34" s="36" t="str">
        <f t="shared" ref="M34:M65" si="11">IF(L34&gt;=10,"CRITICAL",IF(L34&gt;=7,"HIGH",IF(L34&gt;=4,"MEDIUM","LOW")))</f>
        <v>LOW</v>
      </c>
      <c r="W34">
        <v>67</v>
      </c>
    </row>
    <row r="35" spans="1:23" x14ac:dyDescent="0.3">
      <c r="A35" s="3" t="s">
        <v>87</v>
      </c>
      <c r="B35" s="5">
        <v>14235.84</v>
      </c>
      <c r="C35" s="34">
        <v>19</v>
      </c>
      <c r="D35" s="3" t="s">
        <v>28</v>
      </c>
      <c r="E35" s="34" t="str" cm="1">
        <f t="array" ref="E35">_xlfn.IFS(AND(W35&gt;=18,W35&lt;=25),"18-25",AND(W35&gt;25,W35&lt;=35),"26-35",AND(W35&gt;35,W35&lt;=45),"36-45",AND(W35&gt;45,W35&lt;=55),"46-55",AND(W35&gt;55,W35&lt;=65),"56-65",W35&gt;65,"65+")</f>
        <v>46-55</v>
      </c>
      <c r="F35" s="34">
        <v>6</v>
      </c>
      <c r="G35" s="3" t="s">
        <v>58</v>
      </c>
      <c r="H35" s="34">
        <f t="shared" si="6"/>
        <v>0</v>
      </c>
      <c r="I35" s="34">
        <f t="shared" si="7"/>
        <v>0</v>
      </c>
      <c r="J35" s="34">
        <f t="shared" si="8"/>
        <v>1</v>
      </c>
      <c r="K35" s="34">
        <f t="shared" si="9"/>
        <v>1</v>
      </c>
      <c r="L35" s="35">
        <f t="shared" si="10"/>
        <v>2</v>
      </c>
      <c r="M35" s="36" t="str">
        <f t="shared" si="11"/>
        <v>LOW</v>
      </c>
      <c r="W35">
        <v>52</v>
      </c>
    </row>
    <row r="36" spans="1:23" x14ac:dyDescent="0.3">
      <c r="A36" s="3" t="s">
        <v>88</v>
      </c>
      <c r="B36" s="5">
        <v>14486.2</v>
      </c>
      <c r="C36" s="34">
        <v>6</v>
      </c>
      <c r="D36" s="3" t="s">
        <v>49</v>
      </c>
      <c r="E36" s="34" t="str" cm="1">
        <f t="array" ref="E36">_xlfn.IFS(AND(W36&gt;=18,W36&lt;=25),"18-25",AND(W36&gt;25,W36&lt;=35),"26-35",AND(W36&gt;35,W36&lt;=45),"36-45",AND(W36&gt;45,W36&lt;=55),"46-55",AND(W36&gt;55,W36&lt;=65),"56-65",W36&gt;65,"65+")</f>
        <v>65+</v>
      </c>
      <c r="F36" s="34">
        <v>8</v>
      </c>
      <c r="G36" s="3" t="s">
        <v>37</v>
      </c>
      <c r="H36" s="34">
        <f t="shared" si="6"/>
        <v>0</v>
      </c>
      <c r="I36" s="34">
        <f t="shared" si="7"/>
        <v>0</v>
      </c>
      <c r="J36" s="34">
        <f t="shared" si="8"/>
        <v>1</v>
      </c>
      <c r="K36" s="34">
        <f t="shared" si="9"/>
        <v>1</v>
      </c>
      <c r="L36" s="35">
        <f t="shared" si="10"/>
        <v>2</v>
      </c>
      <c r="M36" s="36" t="str">
        <f t="shared" si="11"/>
        <v>LOW</v>
      </c>
      <c r="W36">
        <v>77</v>
      </c>
    </row>
    <row r="37" spans="1:23" x14ac:dyDescent="0.3">
      <c r="A37" s="3" t="s">
        <v>89</v>
      </c>
      <c r="B37" s="5">
        <v>12135.54</v>
      </c>
      <c r="C37" s="34">
        <v>19</v>
      </c>
      <c r="D37" s="3" t="s">
        <v>25</v>
      </c>
      <c r="E37" s="34" t="str" cm="1">
        <f t="array" ref="E37">_xlfn.IFS(AND(W37&gt;=18,W37&lt;=25),"18-25",AND(W37&gt;25,W37&lt;=35),"26-35",AND(W37&gt;35,W37&lt;=45),"36-45",AND(W37&gt;45,W37&lt;=55),"46-55",AND(W37&gt;55,W37&lt;=65),"56-65",W37&gt;65,"65+")</f>
        <v>46-55</v>
      </c>
      <c r="F37" s="34">
        <v>3</v>
      </c>
      <c r="G37" s="3" t="s">
        <v>32</v>
      </c>
      <c r="H37" s="34">
        <f t="shared" si="6"/>
        <v>0</v>
      </c>
      <c r="I37" s="34">
        <f t="shared" si="7"/>
        <v>0</v>
      </c>
      <c r="J37" s="34">
        <f t="shared" si="8"/>
        <v>1</v>
      </c>
      <c r="K37" s="34">
        <f t="shared" si="9"/>
        <v>1</v>
      </c>
      <c r="L37" s="35">
        <f t="shared" si="10"/>
        <v>0</v>
      </c>
      <c r="M37" s="36" t="str">
        <f t="shared" si="11"/>
        <v>LOW</v>
      </c>
      <c r="W37">
        <v>50</v>
      </c>
    </row>
    <row r="38" spans="1:23" x14ac:dyDescent="0.3">
      <c r="A38" s="3" t="s">
        <v>90</v>
      </c>
      <c r="B38" s="5">
        <v>4603.9799999999996</v>
      </c>
      <c r="C38" s="34">
        <v>8</v>
      </c>
      <c r="D38" s="3" t="s">
        <v>91</v>
      </c>
      <c r="E38" s="34" t="str" cm="1">
        <f t="array" ref="E38">_xlfn.IFS(AND(W38&gt;=18,W38&lt;=25),"18-25",AND(W38&gt;25,W38&lt;=35),"26-35",AND(W38&gt;35,W38&lt;=45),"36-45",AND(W38&gt;45,W38&lt;=55),"46-55",AND(W38&gt;55,W38&lt;=65),"56-65",W38&gt;65,"65+")</f>
        <v>46-55</v>
      </c>
      <c r="F38" s="34">
        <v>3</v>
      </c>
      <c r="G38" s="3" t="s">
        <v>92</v>
      </c>
      <c r="H38" s="34">
        <f t="shared" si="6"/>
        <v>1</v>
      </c>
      <c r="I38" s="34">
        <f t="shared" si="7"/>
        <v>0</v>
      </c>
      <c r="J38" s="34">
        <f t="shared" si="8"/>
        <v>0</v>
      </c>
      <c r="K38" s="34">
        <f t="shared" si="9"/>
        <v>1</v>
      </c>
      <c r="L38" s="35">
        <f t="shared" si="10"/>
        <v>2</v>
      </c>
      <c r="M38" s="36" t="str">
        <f t="shared" si="11"/>
        <v>LOW</v>
      </c>
      <c r="W38">
        <v>50</v>
      </c>
    </row>
    <row r="39" spans="1:23" x14ac:dyDescent="0.3">
      <c r="A39" s="3" t="s">
        <v>93</v>
      </c>
      <c r="B39" s="5">
        <v>1510.2</v>
      </c>
      <c r="C39" s="34">
        <v>0</v>
      </c>
      <c r="D39" s="3" t="s">
        <v>74</v>
      </c>
      <c r="E39" s="34" t="str" cm="1">
        <f t="array" ref="E39">_xlfn.IFS(AND(W39&gt;=18,W39&lt;=25),"18-25",AND(W39&gt;25,W39&lt;=35),"26-35",AND(W39&gt;35,W39&lt;=45),"36-45",AND(W39&gt;45,W39&lt;=55),"46-55",AND(W39&gt;55,W39&lt;=65),"56-65",W39&gt;65,"65+")</f>
        <v>65+</v>
      </c>
      <c r="F39" s="34">
        <v>5</v>
      </c>
      <c r="G39" s="3" t="s">
        <v>94</v>
      </c>
      <c r="H39" s="34">
        <f t="shared" si="6"/>
        <v>0</v>
      </c>
      <c r="I39" s="34">
        <f t="shared" si="7"/>
        <v>0</v>
      </c>
      <c r="J39" s="34">
        <f t="shared" si="8"/>
        <v>0</v>
      </c>
      <c r="K39" s="34">
        <f t="shared" si="9"/>
        <v>1</v>
      </c>
      <c r="L39" s="35">
        <f t="shared" si="10"/>
        <v>2</v>
      </c>
      <c r="M39" s="36" t="str">
        <f t="shared" si="11"/>
        <v>LOW</v>
      </c>
      <c r="W39">
        <v>78</v>
      </c>
    </row>
    <row r="40" spans="1:23" x14ac:dyDescent="0.3">
      <c r="A40" s="3" t="s">
        <v>95</v>
      </c>
      <c r="B40" s="5">
        <v>10279.280000000001</v>
      </c>
      <c r="C40" s="34">
        <v>7</v>
      </c>
      <c r="D40" s="3" t="s">
        <v>91</v>
      </c>
      <c r="E40" s="34" t="str" cm="1">
        <f t="array" ref="E40">_xlfn.IFS(AND(W40&gt;=18,W40&lt;=25),"18-25",AND(W40&gt;25,W40&lt;=35),"26-35",AND(W40&gt;35,W40&lt;=45),"36-45",AND(W40&gt;45,W40&lt;=55),"46-55",AND(W40&gt;55,W40&lt;=65),"56-65",W40&gt;65,"65+")</f>
        <v>65+</v>
      </c>
      <c r="F40" s="34">
        <v>2</v>
      </c>
      <c r="G40" s="3" t="s">
        <v>78</v>
      </c>
      <c r="H40" s="34">
        <f t="shared" si="6"/>
        <v>1</v>
      </c>
      <c r="I40" s="34">
        <f t="shared" si="7"/>
        <v>0</v>
      </c>
      <c r="J40" s="34">
        <f t="shared" si="8"/>
        <v>1</v>
      </c>
      <c r="K40" s="34">
        <f t="shared" si="9"/>
        <v>0</v>
      </c>
      <c r="L40" s="35">
        <f t="shared" si="10"/>
        <v>5</v>
      </c>
      <c r="M40" s="36" t="str">
        <f t="shared" si="11"/>
        <v>MEDIUM</v>
      </c>
      <c r="W40">
        <v>68</v>
      </c>
    </row>
    <row r="41" spans="1:23" x14ac:dyDescent="0.3">
      <c r="A41" s="3" t="s">
        <v>96</v>
      </c>
      <c r="B41" s="5">
        <v>6630.28</v>
      </c>
      <c r="C41" s="34">
        <v>6</v>
      </c>
      <c r="D41" s="3" t="s">
        <v>62</v>
      </c>
      <c r="E41" s="34" t="str" cm="1">
        <f t="array" ref="E41">_xlfn.IFS(AND(W41&gt;=18,W41&lt;=25),"18-25",AND(W41&gt;25,W41&lt;=35),"26-35",AND(W41&gt;35,W41&lt;=45),"36-45",AND(W41&gt;45,W41&lt;=55),"46-55",AND(W41&gt;55,W41&lt;=65),"56-65",W41&gt;65,"65+")</f>
        <v>56-65</v>
      </c>
      <c r="F41" s="34">
        <v>5</v>
      </c>
      <c r="G41" s="3" t="s">
        <v>60</v>
      </c>
      <c r="H41" s="34">
        <f t="shared" si="6"/>
        <v>1</v>
      </c>
      <c r="I41" s="34">
        <f t="shared" si="7"/>
        <v>0</v>
      </c>
      <c r="J41" s="34">
        <f t="shared" si="8"/>
        <v>1</v>
      </c>
      <c r="K41" s="34">
        <f t="shared" si="9"/>
        <v>1</v>
      </c>
      <c r="L41" s="35">
        <f t="shared" si="10"/>
        <v>7</v>
      </c>
      <c r="M41" s="36" t="str">
        <f t="shared" si="11"/>
        <v>HIGH</v>
      </c>
      <c r="W41">
        <v>60</v>
      </c>
    </row>
    <row r="42" spans="1:23" x14ac:dyDescent="0.3">
      <c r="A42" s="3" t="s">
        <v>97</v>
      </c>
      <c r="B42" s="5">
        <v>1874.47</v>
      </c>
      <c r="C42" s="34">
        <v>17</v>
      </c>
      <c r="D42" s="3" t="s">
        <v>39</v>
      </c>
      <c r="E42" s="34" t="str" cm="1">
        <f t="array" ref="E42">_xlfn.IFS(AND(W42&gt;=18,W42&lt;=25),"18-25",AND(W42&gt;25,W42&lt;=35),"26-35",AND(W42&gt;35,W42&lt;=45),"36-45",AND(W42&gt;45,W42&lt;=55),"46-55",AND(W42&gt;55,W42&lt;=65),"56-65",W42&gt;65,"65+")</f>
        <v>46-55</v>
      </c>
      <c r="F42" s="34">
        <v>6</v>
      </c>
      <c r="G42" s="3" t="s">
        <v>98</v>
      </c>
      <c r="H42" s="34">
        <f t="shared" si="6"/>
        <v>0</v>
      </c>
      <c r="I42" s="34">
        <f t="shared" si="7"/>
        <v>0</v>
      </c>
      <c r="J42" s="34">
        <f t="shared" si="8"/>
        <v>0</v>
      </c>
      <c r="K42" s="34">
        <f t="shared" si="9"/>
        <v>1</v>
      </c>
      <c r="L42" s="35">
        <f t="shared" si="10"/>
        <v>2</v>
      </c>
      <c r="M42" s="36" t="str">
        <f t="shared" si="11"/>
        <v>LOW</v>
      </c>
      <c r="W42">
        <v>54</v>
      </c>
    </row>
    <row r="43" spans="1:23" x14ac:dyDescent="0.3">
      <c r="A43" s="3" t="s">
        <v>99</v>
      </c>
      <c r="B43" s="5">
        <v>7452.89</v>
      </c>
      <c r="C43" s="34">
        <v>7</v>
      </c>
      <c r="D43" s="3" t="s">
        <v>42</v>
      </c>
      <c r="E43" s="34" t="str" cm="1">
        <f t="array" ref="E43">_xlfn.IFS(AND(W43&gt;=18,W43&lt;=25),"18-25",AND(W43&gt;25,W43&lt;=35),"26-35",AND(W43&gt;35,W43&lt;=45),"36-45",AND(W43&gt;45,W43&lt;=55),"46-55",AND(W43&gt;55,W43&lt;=65),"56-65",W43&gt;65,"65+")</f>
        <v>26-35</v>
      </c>
      <c r="F43" s="34">
        <v>9</v>
      </c>
      <c r="G43" s="3" t="s">
        <v>37</v>
      </c>
      <c r="H43" s="34">
        <f t="shared" si="6"/>
        <v>0</v>
      </c>
      <c r="I43" s="34">
        <f t="shared" si="7"/>
        <v>0</v>
      </c>
      <c r="J43" s="34">
        <f t="shared" si="8"/>
        <v>1</v>
      </c>
      <c r="K43" s="34">
        <f t="shared" si="9"/>
        <v>1</v>
      </c>
      <c r="L43" s="35">
        <f t="shared" si="10"/>
        <v>2</v>
      </c>
      <c r="M43" s="36" t="str">
        <f t="shared" si="11"/>
        <v>LOW</v>
      </c>
      <c r="W43">
        <v>29</v>
      </c>
    </row>
    <row r="44" spans="1:23" x14ac:dyDescent="0.3">
      <c r="A44" s="3" t="s">
        <v>100</v>
      </c>
      <c r="B44" s="5">
        <v>564.11</v>
      </c>
      <c r="C44" s="34">
        <v>0</v>
      </c>
      <c r="D44" s="3" t="s">
        <v>42</v>
      </c>
      <c r="E44" s="34" t="str" cm="1">
        <f t="array" ref="E44">_xlfn.IFS(AND(W44&gt;=18,W44&lt;=25),"18-25",AND(W44&gt;25,W44&lt;=35),"26-35",AND(W44&gt;35,W44&lt;=45),"36-45",AND(W44&gt;45,W44&lt;=55),"46-55",AND(W44&gt;55,W44&lt;=65),"56-65",W44&gt;65,"65+")</f>
        <v>18-25</v>
      </c>
      <c r="F44" s="34">
        <v>9</v>
      </c>
      <c r="G44" s="3" t="s">
        <v>44</v>
      </c>
      <c r="H44" s="34">
        <f t="shared" si="6"/>
        <v>0</v>
      </c>
      <c r="I44" s="34">
        <f t="shared" si="7"/>
        <v>0</v>
      </c>
      <c r="J44" s="34">
        <f t="shared" si="8"/>
        <v>0</v>
      </c>
      <c r="K44" s="34">
        <f t="shared" si="9"/>
        <v>1</v>
      </c>
      <c r="L44" s="35">
        <f t="shared" si="10"/>
        <v>2</v>
      </c>
      <c r="M44" s="36" t="str">
        <f t="shared" si="11"/>
        <v>LOW</v>
      </c>
      <c r="W44">
        <v>20</v>
      </c>
    </row>
    <row r="45" spans="1:23" x14ac:dyDescent="0.3">
      <c r="A45" s="3" t="s">
        <v>101</v>
      </c>
      <c r="B45" s="5">
        <v>13644.34</v>
      </c>
      <c r="C45" s="34">
        <v>10</v>
      </c>
      <c r="D45" s="3" t="s">
        <v>85</v>
      </c>
      <c r="E45" s="34" t="str" cm="1">
        <f t="array" ref="E45">_xlfn.IFS(AND(W45&gt;=18,W45&lt;=25),"18-25",AND(W45&gt;25,W45&lt;=35),"26-35",AND(W45&gt;35,W45&lt;=45),"36-45",AND(W45&gt;45,W45&lt;=55),"46-55",AND(W45&gt;55,W45&lt;=65),"56-65",W45&gt;65,"65+")</f>
        <v>18-25</v>
      </c>
      <c r="F45" s="34">
        <v>2</v>
      </c>
      <c r="G45" s="3" t="s">
        <v>67</v>
      </c>
      <c r="H45" s="34">
        <f t="shared" si="6"/>
        <v>0</v>
      </c>
      <c r="I45" s="34">
        <f t="shared" si="7"/>
        <v>0</v>
      </c>
      <c r="J45" s="34">
        <f t="shared" si="8"/>
        <v>1</v>
      </c>
      <c r="K45" s="34">
        <f t="shared" si="9"/>
        <v>0</v>
      </c>
      <c r="L45" s="35">
        <f t="shared" si="10"/>
        <v>1</v>
      </c>
      <c r="M45" s="36" t="str">
        <f t="shared" si="11"/>
        <v>LOW</v>
      </c>
      <c r="W45">
        <v>18</v>
      </c>
    </row>
    <row r="46" spans="1:23" x14ac:dyDescent="0.3">
      <c r="A46" s="3" t="s">
        <v>102</v>
      </c>
      <c r="B46" s="5">
        <v>3918.76</v>
      </c>
      <c r="C46" s="34">
        <v>17</v>
      </c>
      <c r="D46" s="3" t="s">
        <v>36</v>
      </c>
      <c r="E46" s="34" t="str" cm="1">
        <f t="array" ref="E46">_xlfn.IFS(AND(W46&gt;=18,W46&lt;=25),"18-25",AND(W46&gt;25,W46&lt;=35),"26-35",AND(W46&gt;35,W46&lt;=45),"36-45",AND(W46&gt;45,W46&lt;=55),"46-55",AND(W46&gt;55,W46&lt;=65),"56-65",W46&gt;65,"65+")</f>
        <v>46-55</v>
      </c>
      <c r="F46" s="34">
        <v>6</v>
      </c>
      <c r="G46" s="3" t="s">
        <v>92</v>
      </c>
      <c r="H46" s="34">
        <f t="shared" si="6"/>
        <v>1</v>
      </c>
      <c r="I46" s="34">
        <f t="shared" si="7"/>
        <v>0</v>
      </c>
      <c r="J46" s="34">
        <f t="shared" si="8"/>
        <v>0</v>
      </c>
      <c r="K46" s="34">
        <f t="shared" si="9"/>
        <v>1</v>
      </c>
      <c r="L46" s="35">
        <f t="shared" si="10"/>
        <v>4</v>
      </c>
      <c r="M46" s="36" t="str">
        <f t="shared" si="11"/>
        <v>MEDIUM</v>
      </c>
      <c r="W46">
        <v>50</v>
      </c>
    </row>
    <row r="47" spans="1:23" x14ac:dyDescent="0.3">
      <c r="A47" s="3" t="s">
        <v>103</v>
      </c>
      <c r="B47" s="5">
        <v>9954.7099999999991</v>
      </c>
      <c r="C47" s="34">
        <v>22</v>
      </c>
      <c r="D47" s="3" t="s">
        <v>49</v>
      </c>
      <c r="E47" s="34" t="str" cm="1">
        <f t="array" ref="E47">_xlfn.IFS(AND(W47&gt;=18,W47&lt;=25),"18-25",AND(W47&gt;25,W47&lt;=35),"26-35",AND(W47&gt;35,W47&lt;=45),"36-45",AND(W47&gt;45,W47&lt;=55),"46-55",AND(W47&gt;55,W47&lt;=65),"56-65",W47&gt;65,"65+")</f>
        <v>56-65</v>
      </c>
      <c r="F47" s="34">
        <v>2</v>
      </c>
      <c r="G47" s="3" t="s">
        <v>98</v>
      </c>
      <c r="H47" s="34">
        <f t="shared" si="6"/>
        <v>0</v>
      </c>
      <c r="I47" s="34">
        <f t="shared" si="7"/>
        <v>0</v>
      </c>
      <c r="J47" s="34">
        <f t="shared" si="8"/>
        <v>1</v>
      </c>
      <c r="K47" s="34">
        <f t="shared" si="9"/>
        <v>0</v>
      </c>
      <c r="L47" s="35">
        <f t="shared" si="10"/>
        <v>0</v>
      </c>
      <c r="M47" s="36" t="str">
        <f t="shared" si="11"/>
        <v>LOW</v>
      </c>
      <c r="W47">
        <v>57</v>
      </c>
    </row>
    <row r="48" spans="1:23" x14ac:dyDescent="0.3">
      <c r="A48" s="3" t="s">
        <v>104</v>
      </c>
      <c r="B48" s="5">
        <v>4710.08</v>
      </c>
      <c r="C48" s="34">
        <v>9</v>
      </c>
      <c r="D48" s="3" t="s">
        <v>85</v>
      </c>
      <c r="E48" s="34" t="str" cm="1">
        <f t="array" ref="E48">_xlfn.IFS(AND(W48&gt;=18,W48&lt;=25),"18-25",AND(W48&gt;25,W48&lt;=35),"26-35",AND(W48&gt;35,W48&lt;=45),"36-45",AND(W48&gt;45,W48&lt;=55),"46-55",AND(W48&gt;55,W48&lt;=65),"56-65",W48&gt;65,"65+")</f>
        <v>26-35</v>
      </c>
      <c r="F48" s="34">
        <v>1</v>
      </c>
      <c r="G48" s="3" t="s">
        <v>29</v>
      </c>
      <c r="H48" s="34">
        <f t="shared" si="6"/>
        <v>0</v>
      </c>
      <c r="I48" s="34">
        <f t="shared" si="7"/>
        <v>0</v>
      </c>
      <c r="J48" s="34">
        <f t="shared" si="8"/>
        <v>0</v>
      </c>
      <c r="K48" s="34">
        <f t="shared" si="9"/>
        <v>0</v>
      </c>
      <c r="L48" s="35">
        <f t="shared" si="10"/>
        <v>0</v>
      </c>
      <c r="M48" s="36" t="str">
        <f t="shared" si="11"/>
        <v>LOW</v>
      </c>
      <c r="W48">
        <v>27</v>
      </c>
    </row>
    <row r="49" spans="1:23" x14ac:dyDescent="0.3">
      <c r="A49" s="3" t="s">
        <v>105</v>
      </c>
      <c r="B49" s="5">
        <v>7825.02</v>
      </c>
      <c r="C49" s="34">
        <v>2</v>
      </c>
      <c r="D49" s="3" t="s">
        <v>46</v>
      </c>
      <c r="E49" s="34" t="str" cm="1">
        <f t="array" ref="E49">_xlfn.IFS(AND(W49&gt;=18,W49&lt;=25),"18-25",AND(W49&gt;25,W49&lt;=35),"26-35",AND(W49&gt;35,W49&lt;=45),"36-45",AND(W49&gt;45,W49&lt;=55),"46-55",AND(W49&gt;55,W49&lt;=65),"56-65",W49&gt;65,"65+")</f>
        <v>56-65</v>
      </c>
      <c r="F49" s="34">
        <v>9</v>
      </c>
      <c r="G49" s="3" t="s">
        <v>56</v>
      </c>
      <c r="H49" s="34">
        <f t="shared" si="6"/>
        <v>1</v>
      </c>
      <c r="I49" s="34">
        <f t="shared" si="7"/>
        <v>1</v>
      </c>
      <c r="J49" s="34">
        <f t="shared" si="8"/>
        <v>1</v>
      </c>
      <c r="K49" s="34">
        <f t="shared" si="9"/>
        <v>1</v>
      </c>
      <c r="L49" s="35">
        <f t="shared" si="10"/>
        <v>14</v>
      </c>
      <c r="M49" s="36" t="str">
        <f t="shared" si="11"/>
        <v>CRITICAL</v>
      </c>
      <c r="W49">
        <v>60</v>
      </c>
    </row>
    <row r="50" spans="1:23" x14ac:dyDescent="0.3">
      <c r="A50" s="3" t="s">
        <v>106</v>
      </c>
      <c r="B50" s="5">
        <v>8223.32</v>
      </c>
      <c r="C50" s="34">
        <v>6</v>
      </c>
      <c r="D50" s="3" t="s">
        <v>46</v>
      </c>
      <c r="E50" s="34" t="str" cm="1">
        <f t="array" ref="E50">_xlfn.IFS(AND(W50&gt;=18,W50&lt;=25),"18-25",AND(W50&gt;25,W50&lt;=35),"26-35",AND(W50&gt;35,W50&lt;=45),"36-45",AND(W50&gt;45,W50&lt;=55),"46-55",AND(W50&gt;55,W50&lt;=65),"56-65",W50&gt;65,"65+")</f>
        <v>56-65</v>
      </c>
      <c r="F50" s="34">
        <v>3</v>
      </c>
      <c r="G50" s="3" t="s">
        <v>107</v>
      </c>
      <c r="H50" s="34">
        <f t="shared" si="6"/>
        <v>1</v>
      </c>
      <c r="I50" s="34">
        <f t="shared" si="7"/>
        <v>0</v>
      </c>
      <c r="J50" s="34">
        <f t="shared" si="8"/>
        <v>1</v>
      </c>
      <c r="K50" s="34">
        <f t="shared" si="9"/>
        <v>1</v>
      </c>
      <c r="L50" s="35">
        <f t="shared" si="10"/>
        <v>5</v>
      </c>
      <c r="M50" s="36" t="str">
        <f t="shared" si="11"/>
        <v>MEDIUM</v>
      </c>
      <c r="W50">
        <v>61</v>
      </c>
    </row>
    <row r="51" spans="1:23" x14ac:dyDescent="0.3">
      <c r="A51" s="3" t="s">
        <v>108</v>
      </c>
      <c r="B51" s="5">
        <v>2813.57</v>
      </c>
      <c r="C51" s="34">
        <v>15</v>
      </c>
      <c r="D51" s="3" t="s">
        <v>49</v>
      </c>
      <c r="E51" s="34" t="str" cm="1">
        <f t="array" ref="E51">_xlfn.IFS(AND(W51&gt;=18,W51&lt;=25),"18-25",AND(W51&gt;25,W51&lt;=35),"26-35",AND(W51&gt;35,W51&lt;=45),"36-45",AND(W51&gt;45,W51&lt;=55),"46-55",AND(W51&gt;55,W51&lt;=65),"56-65",W51&gt;65,"65+")</f>
        <v>46-55</v>
      </c>
      <c r="F51" s="34">
        <v>7</v>
      </c>
      <c r="G51" s="3" t="s">
        <v>29</v>
      </c>
      <c r="H51" s="34">
        <f t="shared" si="6"/>
        <v>0</v>
      </c>
      <c r="I51" s="34">
        <f t="shared" si="7"/>
        <v>0</v>
      </c>
      <c r="J51" s="34">
        <f t="shared" si="8"/>
        <v>0</v>
      </c>
      <c r="K51" s="34">
        <f t="shared" si="9"/>
        <v>1</v>
      </c>
      <c r="L51" s="35">
        <f t="shared" si="10"/>
        <v>2</v>
      </c>
      <c r="M51" s="36" t="str">
        <f t="shared" si="11"/>
        <v>LOW</v>
      </c>
      <c r="W51">
        <v>46</v>
      </c>
    </row>
    <row r="52" spans="1:23" x14ac:dyDescent="0.3">
      <c r="A52" s="3" t="s">
        <v>109</v>
      </c>
      <c r="B52" s="5">
        <v>14545.29</v>
      </c>
      <c r="C52" s="34">
        <v>15</v>
      </c>
      <c r="D52" s="3" t="s">
        <v>31</v>
      </c>
      <c r="E52" s="34" t="str" cm="1">
        <f t="array" ref="E52">_xlfn.IFS(AND(W52&gt;=18,W52&lt;=25),"18-25",AND(W52&gt;25,W52&lt;=35),"26-35",AND(W52&gt;35,W52&lt;=45),"36-45",AND(W52&gt;45,W52&lt;=55),"46-55",AND(W52&gt;55,W52&lt;=65),"56-65",W52&gt;65,"65+")</f>
        <v>26-35</v>
      </c>
      <c r="F52" s="34">
        <v>8</v>
      </c>
      <c r="G52" s="3" t="s">
        <v>110</v>
      </c>
      <c r="H52" s="34">
        <f t="shared" si="6"/>
        <v>1</v>
      </c>
      <c r="I52" s="34">
        <f t="shared" si="7"/>
        <v>0</v>
      </c>
      <c r="J52" s="34">
        <f t="shared" si="8"/>
        <v>1</v>
      </c>
      <c r="K52" s="34">
        <f t="shared" si="9"/>
        <v>1</v>
      </c>
      <c r="L52" s="35">
        <f t="shared" si="10"/>
        <v>7</v>
      </c>
      <c r="M52" s="36" t="str">
        <f t="shared" si="11"/>
        <v>HIGH</v>
      </c>
      <c r="W52">
        <v>30</v>
      </c>
    </row>
    <row r="53" spans="1:23" x14ac:dyDescent="0.3">
      <c r="A53" s="3" t="s">
        <v>111</v>
      </c>
      <c r="B53" s="5">
        <v>11638.24</v>
      </c>
      <c r="C53" s="34">
        <v>19</v>
      </c>
      <c r="D53" s="3" t="s">
        <v>36</v>
      </c>
      <c r="E53" s="34" t="str" cm="1">
        <f t="array" ref="E53">_xlfn.IFS(AND(W53&gt;=18,W53&lt;=25),"18-25",AND(W53&gt;25,W53&lt;=35),"26-35",AND(W53&gt;35,W53&lt;=45),"36-45",AND(W53&gt;45,W53&lt;=55),"46-55",AND(W53&gt;55,W53&lt;=65),"56-65",W53&gt;65,"65+")</f>
        <v>26-35</v>
      </c>
      <c r="F53" s="34">
        <v>6</v>
      </c>
      <c r="G53" s="3" t="s">
        <v>110</v>
      </c>
      <c r="H53" s="34">
        <f t="shared" si="6"/>
        <v>1</v>
      </c>
      <c r="I53" s="34">
        <f t="shared" si="7"/>
        <v>0</v>
      </c>
      <c r="J53" s="34">
        <f t="shared" si="8"/>
        <v>1</v>
      </c>
      <c r="K53" s="34">
        <f t="shared" si="9"/>
        <v>1</v>
      </c>
      <c r="L53" s="35">
        <f t="shared" si="10"/>
        <v>7</v>
      </c>
      <c r="M53" s="36" t="str">
        <f t="shared" si="11"/>
        <v>HIGH</v>
      </c>
      <c r="W53">
        <v>29</v>
      </c>
    </row>
    <row r="54" spans="1:23" x14ac:dyDescent="0.3">
      <c r="A54" s="3" t="s">
        <v>112</v>
      </c>
      <c r="B54" s="5">
        <v>14095.51</v>
      </c>
      <c r="C54" s="34">
        <v>16</v>
      </c>
      <c r="D54" s="3" t="s">
        <v>25</v>
      </c>
      <c r="E54" s="34" t="str" cm="1">
        <f t="array" ref="E54">_xlfn.IFS(AND(W54&gt;=18,W54&lt;=25),"18-25",AND(W54&gt;25,W54&lt;=35),"26-35",AND(W54&gt;35,W54&lt;=45),"36-45",AND(W54&gt;45,W54&lt;=55),"46-55",AND(W54&gt;55,W54&lt;=65),"56-65",W54&gt;65,"65+")</f>
        <v>46-55</v>
      </c>
      <c r="F54" s="34">
        <v>0</v>
      </c>
      <c r="G54" s="3" t="s">
        <v>72</v>
      </c>
      <c r="H54" s="34">
        <f t="shared" si="6"/>
        <v>0</v>
      </c>
      <c r="I54" s="34">
        <f t="shared" si="7"/>
        <v>0</v>
      </c>
      <c r="J54" s="34">
        <f t="shared" si="8"/>
        <v>1</v>
      </c>
      <c r="K54" s="34">
        <f t="shared" si="9"/>
        <v>0</v>
      </c>
      <c r="L54" s="35">
        <f t="shared" si="10"/>
        <v>0</v>
      </c>
      <c r="M54" s="36" t="str">
        <f t="shared" si="11"/>
        <v>LOW</v>
      </c>
      <c r="W54">
        <v>48</v>
      </c>
    </row>
    <row r="55" spans="1:23" x14ac:dyDescent="0.3">
      <c r="A55" s="3" t="s">
        <v>113</v>
      </c>
      <c r="B55" s="5">
        <v>13427.67</v>
      </c>
      <c r="C55" s="34">
        <v>1</v>
      </c>
      <c r="D55" s="3" t="s">
        <v>28</v>
      </c>
      <c r="E55" s="34" t="str" cm="1">
        <f t="array" ref="E55">_xlfn.IFS(AND(W55&gt;=18,W55&lt;=25),"18-25",AND(W55&gt;25,W55&lt;=35),"26-35",AND(W55&gt;35,W55&lt;=45),"36-45",AND(W55&gt;45,W55&lt;=55),"46-55",AND(W55&gt;55,W55&lt;=65),"56-65",W55&gt;65,"65+")</f>
        <v>56-65</v>
      </c>
      <c r="F55" s="34">
        <v>2</v>
      </c>
      <c r="G55" s="3" t="s">
        <v>37</v>
      </c>
      <c r="H55" s="34">
        <f t="shared" si="6"/>
        <v>0</v>
      </c>
      <c r="I55" s="34">
        <f t="shared" si="7"/>
        <v>0</v>
      </c>
      <c r="J55" s="34">
        <f t="shared" si="8"/>
        <v>1</v>
      </c>
      <c r="K55" s="34">
        <f t="shared" si="9"/>
        <v>0</v>
      </c>
      <c r="L55" s="35">
        <f t="shared" si="10"/>
        <v>0</v>
      </c>
      <c r="M55" s="36" t="str">
        <f t="shared" si="11"/>
        <v>LOW</v>
      </c>
      <c r="W55">
        <v>63</v>
      </c>
    </row>
    <row r="56" spans="1:23" x14ac:dyDescent="0.3">
      <c r="A56" s="3" t="s">
        <v>114</v>
      </c>
      <c r="B56" s="5">
        <v>8988.6</v>
      </c>
      <c r="C56" s="34">
        <v>0</v>
      </c>
      <c r="D56" s="3" t="s">
        <v>42</v>
      </c>
      <c r="E56" s="34" t="str" cm="1">
        <f t="array" ref="E56">_xlfn.IFS(AND(W56&gt;=18,W56&lt;=25),"18-25",AND(W56&gt;25,W56&lt;=35),"26-35",AND(W56&gt;35,W56&lt;=45),"36-45",AND(W56&gt;45,W56&lt;=55),"46-55",AND(W56&gt;55,W56&lt;=65),"56-65",W56&gt;65,"65+")</f>
        <v>18-25</v>
      </c>
      <c r="F56" s="34">
        <v>8</v>
      </c>
      <c r="G56" s="3" t="s">
        <v>63</v>
      </c>
      <c r="H56" s="34">
        <f t="shared" si="6"/>
        <v>0</v>
      </c>
      <c r="I56" s="34">
        <f t="shared" si="7"/>
        <v>0</v>
      </c>
      <c r="J56" s="34">
        <f t="shared" si="8"/>
        <v>1</v>
      </c>
      <c r="K56" s="34">
        <f t="shared" si="9"/>
        <v>1</v>
      </c>
      <c r="L56" s="35">
        <f t="shared" si="10"/>
        <v>3</v>
      </c>
      <c r="M56" s="36" t="str">
        <f t="shared" si="11"/>
        <v>LOW</v>
      </c>
      <c r="W56">
        <v>19</v>
      </c>
    </row>
    <row r="57" spans="1:23" x14ac:dyDescent="0.3">
      <c r="A57" s="3" t="s">
        <v>115</v>
      </c>
      <c r="B57" s="5">
        <v>13832.02</v>
      </c>
      <c r="C57" s="34">
        <v>15</v>
      </c>
      <c r="D57" s="3" t="s">
        <v>74</v>
      </c>
      <c r="E57" s="34" t="str" cm="1">
        <f t="array" ref="E57">_xlfn.IFS(AND(W57&gt;=18,W57&lt;=25),"18-25",AND(W57&gt;25,W57&lt;=35),"26-35",AND(W57&gt;35,W57&lt;=45),"36-45",AND(W57&gt;45,W57&lt;=55),"46-55",AND(W57&gt;55,W57&lt;=65),"56-65",W57&gt;65,"65+")</f>
        <v>65+</v>
      </c>
      <c r="F57" s="34">
        <v>0</v>
      </c>
      <c r="G57" s="3" t="s">
        <v>34</v>
      </c>
      <c r="H57" s="34">
        <f t="shared" si="6"/>
        <v>0</v>
      </c>
      <c r="I57" s="34">
        <f t="shared" si="7"/>
        <v>0</v>
      </c>
      <c r="J57" s="34">
        <f t="shared" si="8"/>
        <v>1</v>
      </c>
      <c r="K57" s="34">
        <f t="shared" si="9"/>
        <v>0</v>
      </c>
      <c r="L57" s="35">
        <f t="shared" si="10"/>
        <v>0</v>
      </c>
      <c r="M57" s="36" t="str">
        <f t="shared" si="11"/>
        <v>LOW</v>
      </c>
      <c r="W57">
        <v>78</v>
      </c>
    </row>
    <row r="58" spans="1:23" x14ac:dyDescent="0.3">
      <c r="A58" s="3" t="s">
        <v>116</v>
      </c>
      <c r="B58" s="5">
        <v>1372.96</v>
      </c>
      <c r="C58" s="34">
        <v>11</v>
      </c>
      <c r="D58" s="3" t="s">
        <v>31</v>
      </c>
      <c r="E58" s="34" t="str" cm="1">
        <f t="array" ref="E58">_xlfn.IFS(AND(W58&gt;=18,W58&lt;=25),"18-25",AND(W58&gt;25,W58&lt;=35),"26-35",AND(W58&gt;35,W58&lt;=45),"36-45",AND(W58&gt;45,W58&lt;=55),"46-55",AND(W58&gt;55,W58&lt;=65),"56-65",W58&gt;65,"65+")</f>
        <v>65+</v>
      </c>
      <c r="F58" s="34">
        <v>8</v>
      </c>
      <c r="G58" s="3" t="s">
        <v>86</v>
      </c>
      <c r="H58" s="34">
        <f t="shared" si="6"/>
        <v>1</v>
      </c>
      <c r="I58" s="34">
        <f t="shared" si="7"/>
        <v>0</v>
      </c>
      <c r="J58" s="34">
        <f t="shared" si="8"/>
        <v>0</v>
      </c>
      <c r="K58" s="34">
        <f t="shared" si="9"/>
        <v>1</v>
      </c>
      <c r="L58" s="35">
        <f t="shared" si="10"/>
        <v>2</v>
      </c>
      <c r="M58" s="36" t="str">
        <f t="shared" si="11"/>
        <v>LOW</v>
      </c>
      <c r="W58">
        <v>68</v>
      </c>
    </row>
    <row r="59" spans="1:23" x14ac:dyDescent="0.3">
      <c r="A59" s="3" t="s">
        <v>117</v>
      </c>
      <c r="B59" s="5">
        <v>2979.94</v>
      </c>
      <c r="C59" s="34">
        <v>4</v>
      </c>
      <c r="D59" s="3" t="s">
        <v>28</v>
      </c>
      <c r="E59" s="34" t="str" cm="1">
        <f t="array" ref="E59">_xlfn.IFS(AND(W59&gt;=18,W59&lt;=25),"18-25",AND(W59&gt;25,W59&lt;=35),"26-35",AND(W59&gt;35,W59&lt;=45),"36-45",AND(W59&gt;45,W59&lt;=55),"46-55",AND(W59&gt;55,W59&lt;=65),"56-65",W59&gt;65,"65+")</f>
        <v>65+</v>
      </c>
      <c r="F59" s="34">
        <v>7</v>
      </c>
      <c r="G59" s="3" t="s">
        <v>54</v>
      </c>
      <c r="H59" s="34">
        <f t="shared" si="6"/>
        <v>0</v>
      </c>
      <c r="I59" s="34">
        <f t="shared" si="7"/>
        <v>1</v>
      </c>
      <c r="J59" s="34">
        <f t="shared" si="8"/>
        <v>0</v>
      </c>
      <c r="K59" s="34">
        <f t="shared" si="9"/>
        <v>1</v>
      </c>
      <c r="L59" s="35">
        <f t="shared" si="10"/>
        <v>2</v>
      </c>
      <c r="M59" s="36" t="str">
        <f t="shared" si="11"/>
        <v>LOW</v>
      </c>
      <c r="W59">
        <v>67</v>
      </c>
    </row>
    <row r="60" spans="1:23" x14ac:dyDescent="0.3">
      <c r="A60" s="3" t="s">
        <v>118</v>
      </c>
      <c r="B60" s="5">
        <v>726.15</v>
      </c>
      <c r="C60" s="34">
        <v>4</v>
      </c>
      <c r="D60" s="3" t="s">
        <v>28</v>
      </c>
      <c r="E60" s="34" t="str" cm="1">
        <f t="array" ref="E60">_xlfn.IFS(AND(W60&gt;=18,W60&lt;=25),"18-25",AND(W60&gt;25,W60&lt;=35),"26-35",AND(W60&gt;35,W60&lt;=45),"36-45",AND(W60&gt;45,W60&lt;=55),"46-55",AND(W60&gt;55,W60&lt;=65),"56-65",W60&gt;65,"65+")</f>
        <v>46-55</v>
      </c>
      <c r="F60" s="34">
        <v>0</v>
      </c>
      <c r="G60" s="3" t="s">
        <v>29</v>
      </c>
      <c r="H60" s="34">
        <f t="shared" si="6"/>
        <v>0</v>
      </c>
      <c r="I60" s="34">
        <f t="shared" si="7"/>
        <v>1</v>
      </c>
      <c r="J60" s="34">
        <f t="shared" si="8"/>
        <v>0</v>
      </c>
      <c r="K60" s="34">
        <f t="shared" si="9"/>
        <v>0</v>
      </c>
      <c r="L60" s="35">
        <f t="shared" si="10"/>
        <v>0</v>
      </c>
      <c r="M60" s="36" t="str">
        <f t="shared" si="11"/>
        <v>LOW</v>
      </c>
      <c r="W60">
        <v>52</v>
      </c>
    </row>
    <row r="61" spans="1:23" x14ac:dyDescent="0.3">
      <c r="A61" s="3" t="s">
        <v>119</v>
      </c>
      <c r="B61" s="5">
        <v>4913.6899999999996</v>
      </c>
      <c r="C61" s="34">
        <v>22</v>
      </c>
      <c r="D61" s="3" t="s">
        <v>31</v>
      </c>
      <c r="E61" s="34" t="str" cm="1">
        <f t="array" ref="E61">_xlfn.IFS(AND(W61&gt;=18,W61&lt;=25),"18-25",AND(W61&gt;25,W61&lt;=35),"26-35",AND(W61&gt;35,W61&lt;=45),"36-45",AND(W61&gt;45,W61&lt;=55),"46-55",AND(W61&gt;55,W61&lt;=65),"56-65",W61&gt;65,"65+")</f>
        <v>36-45</v>
      </c>
      <c r="F61" s="34">
        <v>5</v>
      </c>
      <c r="G61" s="3" t="s">
        <v>107</v>
      </c>
      <c r="H61" s="34">
        <f t="shared" si="6"/>
        <v>1</v>
      </c>
      <c r="I61" s="34">
        <f t="shared" si="7"/>
        <v>0</v>
      </c>
      <c r="J61" s="34">
        <f t="shared" si="8"/>
        <v>0</v>
      </c>
      <c r="K61" s="34">
        <f t="shared" si="9"/>
        <v>1</v>
      </c>
      <c r="L61" s="35">
        <f t="shared" si="10"/>
        <v>4</v>
      </c>
      <c r="M61" s="36" t="str">
        <f t="shared" si="11"/>
        <v>MEDIUM</v>
      </c>
      <c r="W61">
        <v>40</v>
      </c>
    </row>
    <row r="62" spans="1:23" x14ac:dyDescent="0.3">
      <c r="A62" s="3" t="s">
        <v>120</v>
      </c>
      <c r="B62" s="5">
        <v>5860.73</v>
      </c>
      <c r="C62" s="34">
        <v>8</v>
      </c>
      <c r="D62" s="3" t="s">
        <v>62</v>
      </c>
      <c r="E62" s="34" t="str" cm="1">
        <f t="array" ref="E62">_xlfn.IFS(AND(W62&gt;=18,W62&lt;=25),"18-25",AND(W62&gt;25,W62&lt;=35),"26-35",AND(W62&gt;35,W62&lt;=45),"36-45",AND(W62&gt;45,W62&lt;=55),"46-55",AND(W62&gt;55,W62&lt;=65),"56-65",W62&gt;65,"65+")</f>
        <v>26-35</v>
      </c>
      <c r="F62" s="34">
        <v>4</v>
      </c>
      <c r="G62" s="3" t="s">
        <v>56</v>
      </c>
      <c r="H62" s="34">
        <f t="shared" si="6"/>
        <v>1</v>
      </c>
      <c r="I62" s="34">
        <f t="shared" si="7"/>
        <v>0</v>
      </c>
      <c r="J62" s="34">
        <f t="shared" si="8"/>
        <v>1</v>
      </c>
      <c r="K62" s="34">
        <f t="shared" si="9"/>
        <v>1</v>
      </c>
      <c r="L62" s="35">
        <f t="shared" si="10"/>
        <v>5</v>
      </c>
      <c r="M62" s="36" t="str">
        <f t="shared" si="11"/>
        <v>MEDIUM</v>
      </c>
      <c r="W62">
        <v>34</v>
      </c>
    </row>
    <row r="63" spans="1:23" x14ac:dyDescent="0.3">
      <c r="A63" s="3" t="s">
        <v>121</v>
      </c>
      <c r="B63" s="5">
        <v>4106.67</v>
      </c>
      <c r="C63" s="34">
        <v>8</v>
      </c>
      <c r="D63" s="3" t="s">
        <v>91</v>
      </c>
      <c r="E63" s="34" t="str" cm="1">
        <f t="array" ref="E63">_xlfn.IFS(AND(W63&gt;=18,W63&lt;=25),"18-25",AND(W63&gt;25,W63&lt;=35),"26-35",AND(W63&gt;35,W63&lt;=45),"36-45",AND(W63&gt;45,W63&lt;=55),"46-55",AND(W63&gt;55,W63&lt;=65),"56-65",W63&gt;65,"65+")</f>
        <v>36-45</v>
      </c>
      <c r="F63" s="34">
        <v>5</v>
      </c>
      <c r="G63" s="3" t="s">
        <v>54</v>
      </c>
      <c r="H63" s="34">
        <f t="shared" si="6"/>
        <v>1</v>
      </c>
      <c r="I63" s="34">
        <f t="shared" si="7"/>
        <v>0</v>
      </c>
      <c r="J63" s="34">
        <f t="shared" si="8"/>
        <v>0</v>
      </c>
      <c r="K63" s="34">
        <f t="shared" si="9"/>
        <v>1</v>
      </c>
      <c r="L63" s="35">
        <f t="shared" si="10"/>
        <v>4</v>
      </c>
      <c r="M63" s="36" t="str">
        <f t="shared" si="11"/>
        <v>MEDIUM</v>
      </c>
      <c r="W63">
        <v>43</v>
      </c>
    </row>
    <row r="64" spans="1:23" x14ac:dyDescent="0.3">
      <c r="A64" s="3" t="s">
        <v>122</v>
      </c>
      <c r="B64" s="5">
        <v>12439.63</v>
      </c>
      <c r="C64" s="34">
        <v>2</v>
      </c>
      <c r="D64" s="3" t="s">
        <v>28</v>
      </c>
      <c r="E64" s="34" t="str" cm="1">
        <f t="array" ref="E64">_xlfn.IFS(AND(W64&gt;=18,W64&lt;=25),"18-25",AND(W64&gt;25,W64&lt;=35),"26-35",AND(W64&gt;35,W64&lt;=45),"36-45",AND(W64&gt;45,W64&lt;=55),"46-55",AND(W64&gt;55,W64&lt;=65),"56-65",W64&gt;65,"65+")</f>
        <v>18-25</v>
      </c>
      <c r="F64" s="34">
        <v>9</v>
      </c>
      <c r="G64" s="3" t="s">
        <v>123</v>
      </c>
      <c r="H64" s="34">
        <f t="shared" si="6"/>
        <v>0</v>
      </c>
      <c r="I64" s="34">
        <f t="shared" si="7"/>
        <v>1</v>
      </c>
      <c r="J64" s="34">
        <f t="shared" si="8"/>
        <v>1</v>
      </c>
      <c r="K64" s="34">
        <f t="shared" si="9"/>
        <v>1</v>
      </c>
      <c r="L64" s="35">
        <f t="shared" si="10"/>
        <v>4</v>
      </c>
      <c r="M64" s="36" t="str">
        <f t="shared" si="11"/>
        <v>MEDIUM</v>
      </c>
      <c r="W64">
        <v>25</v>
      </c>
    </row>
    <row r="65" spans="1:23" x14ac:dyDescent="0.3">
      <c r="A65" s="3" t="s">
        <v>124</v>
      </c>
      <c r="B65" s="5">
        <v>5383.46</v>
      </c>
      <c r="C65" s="34">
        <v>18</v>
      </c>
      <c r="D65" s="3" t="s">
        <v>31</v>
      </c>
      <c r="E65" s="34" t="str" cm="1">
        <f t="array" ref="E65">_xlfn.IFS(AND(W65&gt;=18,W65&lt;=25),"18-25",AND(W65&gt;25,W65&lt;=35),"26-35",AND(W65&gt;35,W65&lt;=45),"36-45",AND(W65&gt;45,W65&lt;=55),"46-55",AND(W65&gt;55,W65&lt;=65),"56-65",W65&gt;65,"65+")</f>
        <v>46-55</v>
      </c>
      <c r="F65" s="34">
        <v>4</v>
      </c>
      <c r="G65" s="3" t="s">
        <v>26</v>
      </c>
      <c r="H65" s="34">
        <f t="shared" si="6"/>
        <v>1</v>
      </c>
      <c r="I65" s="34">
        <f t="shared" si="7"/>
        <v>0</v>
      </c>
      <c r="J65" s="34">
        <f t="shared" si="8"/>
        <v>1</v>
      </c>
      <c r="K65" s="34">
        <f t="shared" si="9"/>
        <v>1</v>
      </c>
      <c r="L65" s="35">
        <f t="shared" si="10"/>
        <v>5</v>
      </c>
      <c r="M65" s="36" t="str">
        <f t="shared" si="11"/>
        <v>MEDIUM</v>
      </c>
      <c r="W65">
        <v>46</v>
      </c>
    </row>
    <row r="66" spans="1:23" x14ac:dyDescent="0.3">
      <c r="A66" s="3" t="s">
        <v>125</v>
      </c>
      <c r="B66" s="5">
        <v>4249.97</v>
      </c>
      <c r="C66" s="34">
        <v>15</v>
      </c>
      <c r="D66" s="3" t="s">
        <v>31</v>
      </c>
      <c r="E66" s="34" t="str" cm="1">
        <f t="array" ref="E66">_xlfn.IFS(AND(W66&gt;=18,W66&lt;=25),"18-25",AND(W66&gt;25,W66&lt;=35),"26-35",AND(W66&gt;35,W66&lt;=45),"36-45",AND(W66&gt;45,W66&lt;=55),"46-55",AND(W66&gt;55,W66&lt;=65),"56-65",W66&gt;65,"65+")</f>
        <v>36-45</v>
      </c>
      <c r="F66" s="34">
        <v>5</v>
      </c>
      <c r="G66" s="3" t="s">
        <v>72</v>
      </c>
      <c r="H66" s="34">
        <f t="shared" ref="H66:H97" si="12">IF(OR(D66="Nigeria",D66="Bangladesh",D66="Pakistan",D66="North Korea",D66="Iran",D66="Syria"),1,0)</f>
        <v>1</v>
      </c>
      <c r="I66" s="34">
        <f t="shared" ref="I66:I97" si="13">IF(AND(C66&gt;=2,C66&lt;=5),1,0)</f>
        <v>0</v>
      </c>
      <c r="J66" s="34">
        <f t="shared" ref="J66:J97" si="14">IF(B66&gt;5000,1,0)</f>
        <v>0</v>
      </c>
      <c r="K66" s="34">
        <f t="shared" ref="K66:K97" si="15">IF(F66&gt;=3,1,0)</f>
        <v>1</v>
      </c>
      <c r="L66" s="35">
        <f t="shared" ref="L66:L97" si="16">IF(AND(B66&gt;5000,C66&gt;=2,C66&lt;=5,H66=1),5,0) + IF(AND(B66&gt;5000,H66=1),3,0) + IF(AND(C66&gt;=2,C66&lt;=5,B66&gt;3000),2,0) + IF(F66&gt;=5,2,0) + IF(AND(W66&lt;25,B66&gt;8000),1,0) + IF(AND(H66=1,B66&gt;3000),2,0)</f>
        <v>4</v>
      </c>
      <c r="M66" s="36" t="str">
        <f t="shared" ref="M66:M97" si="17">IF(L66&gt;=10,"CRITICAL",IF(L66&gt;=7,"HIGH",IF(L66&gt;=4,"MEDIUM","LOW")))</f>
        <v>MEDIUM</v>
      </c>
      <c r="W66">
        <v>43</v>
      </c>
    </row>
    <row r="67" spans="1:23" x14ac:dyDescent="0.3">
      <c r="A67" s="3" t="s">
        <v>126</v>
      </c>
      <c r="B67" s="5">
        <v>8163.31</v>
      </c>
      <c r="C67" s="34">
        <v>15</v>
      </c>
      <c r="D67" s="3" t="s">
        <v>53</v>
      </c>
      <c r="E67" s="34" t="str" cm="1">
        <f t="array" ref="E67">_xlfn.IFS(AND(W67&gt;=18,W67&lt;=25),"18-25",AND(W67&gt;25,W67&lt;=35),"26-35",AND(W67&gt;35,W67&lt;=45),"36-45",AND(W67&gt;45,W67&lt;=55),"46-55",AND(W67&gt;55,W67&lt;=65),"56-65",W67&gt;65,"65+")</f>
        <v>26-35</v>
      </c>
      <c r="F67" s="34">
        <v>4</v>
      </c>
      <c r="G67" s="3" t="s">
        <v>110</v>
      </c>
      <c r="H67" s="34">
        <f t="shared" si="12"/>
        <v>0</v>
      </c>
      <c r="I67" s="34">
        <f t="shared" si="13"/>
        <v>0</v>
      </c>
      <c r="J67" s="34">
        <f t="shared" si="14"/>
        <v>1</v>
      </c>
      <c r="K67" s="34">
        <f t="shared" si="15"/>
        <v>1</v>
      </c>
      <c r="L67" s="35">
        <f t="shared" si="16"/>
        <v>0</v>
      </c>
      <c r="M67" s="36" t="str">
        <f t="shared" si="17"/>
        <v>LOW</v>
      </c>
      <c r="W67">
        <v>27</v>
      </c>
    </row>
    <row r="68" spans="1:23" x14ac:dyDescent="0.3">
      <c r="A68" s="3" t="s">
        <v>127</v>
      </c>
      <c r="B68" s="5">
        <v>2156.8200000000002</v>
      </c>
      <c r="C68" s="34">
        <v>2</v>
      </c>
      <c r="D68" s="3" t="s">
        <v>85</v>
      </c>
      <c r="E68" s="34" t="str" cm="1">
        <f t="array" ref="E68">_xlfn.IFS(AND(W68&gt;=18,W68&lt;=25),"18-25",AND(W68&gt;25,W68&lt;=35),"26-35",AND(W68&gt;35,W68&lt;=45),"36-45",AND(W68&gt;45,W68&lt;=55),"46-55",AND(W68&gt;55,W68&lt;=65),"56-65",W68&gt;65,"65+")</f>
        <v>36-45</v>
      </c>
      <c r="F68" s="34">
        <v>4</v>
      </c>
      <c r="G68" s="3" t="s">
        <v>58</v>
      </c>
      <c r="H68" s="34">
        <f t="shared" si="12"/>
        <v>0</v>
      </c>
      <c r="I68" s="34">
        <f t="shared" si="13"/>
        <v>1</v>
      </c>
      <c r="J68" s="34">
        <f t="shared" si="14"/>
        <v>0</v>
      </c>
      <c r="K68" s="34">
        <f t="shared" si="15"/>
        <v>1</v>
      </c>
      <c r="L68" s="35">
        <f t="shared" si="16"/>
        <v>0</v>
      </c>
      <c r="M68" s="36" t="str">
        <f t="shared" si="17"/>
        <v>LOW</v>
      </c>
      <c r="W68">
        <v>43</v>
      </c>
    </row>
    <row r="69" spans="1:23" x14ac:dyDescent="0.3">
      <c r="A69" s="3" t="s">
        <v>128</v>
      </c>
      <c r="B69" s="5">
        <v>12042.84</v>
      </c>
      <c r="C69" s="34">
        <v>19</v>
      </c>
      <c r="D69" s="3" t="s">
        <v>129</v>
      </c>
      <c r="E69" s="34" t="str" cm="1">
        <f t="array" ref="E69">_xlfn.IFS(AND(W69&gt;=18,W69&lt;=25),"18-25",AND(W69&gt;25,W69&lt;=35),"26-35",AND(W69&gt;35,W69&lt;=45),"36-45",AND(W69&gt;45,W69&lt;=55),"46-55",AND(W69&gt;55,W69&lt;=65),"56-65",W69&gt;65,"65+")</f>
        <v>65+</v>
      </c>
      <c r="F69" s="34">
        <v>3</v>
      </c>
      <c r="G69" s="3" t="s">
        <v>67</v>
      </c>
      <c r="H69" s="34">
        <f t="shared" si="12"/>
        <v>1</v>
      </c>
      <c r="I69" s="34">
        <f t="shared" si="13"/>
        <v>0</v>
      </c>
      <c r="J69" s="34">
        <f t="shared" si="14"/>
        <v>1</v>
      </c>
      <c r="K69" s="34">
        <f t="shared" si="15"/>
        <v>1</v>
      </c>
      <c r="L69" s="35">
        <f t="shared" si="16"/>
        <v>5</v>
      </c>
      <c r="M69" s="36" t="str">
        <f t="shared" si="17"/>
        <v>MEDIUM</v>
      </c>
      <c r="W69">
        <v>79</v>
      </c>
    </row>
    <row r="70" spans="1:23" x14ac:dyDescent="0.3">
      <c r="A70" s="3" t="s">
        <v>130</v>
      </c>
      <c r="B70" s="5">
        <v>1164.53</v>
      </c>
      <c r="C70" s="34">
        <v>23</v>
      </c>
      <c r="D70" s="3" t="s">
        <v>62</v>
      </c>
      <c r="E70" s="34" t="str" cm="1">
        <f t="array" ref="E70">_xlfn.IFS(AND(W70&gt;=18,W70&lt;=25),"18-25",AND(W70&gt;25,W70&lt;=35),"26-35",AND(W70&gt;35,W70&lt;=45),"36-45",AND(W70&gt;45,W70&lt;=55),"46-55",AND(W70&gt;55,W70&lt;=65),"56-65",W70&gt;65,"65+")</f>
        <v>46-55</v>
      </c>
      <c r="F70" s="34">
        <v>2</v>
      </c>
      <c r="G70" s="3" t="s">
        <v>78</v>
      </c>
      <c r="H70" s="34">
        <f t="shared" si="12"/>
        <v>1</v>
      </c>
      <c r="I70" s="34">
        <f t="shared" si="13"/>
        <v>0</v>
      </c>
      <c r="J70" s="34">
        <f t="shared" si="14"/>
        <v>0</v>
      </c>
      <c r="K70" s="34">
        <f t="shared" si="15"/>
        <v>0</v>
      </c>
      <c r="L70" s="35">
        <f t="shared" si="16"/>
        <v>0</v>
      </c>
      <c r="M70" s="36" t="str">
        <f t="shared" si="17"/>
        <v>LOW</v>
      </c>
      <c r="W70">
        <v>51</v>
      </c>
    </row>
    <row r="71" spans="1:23" x14ac:dyDescent="0.3">
      <c r="A71" s="3" t="s">
        <v>131</v>
      </c>
      <c r="B71" s="5">
        <v>14803.96</v>
      </c>
      <c r="C71" s="34">
        <v>21</v>
      </c>
      <c r="D71" s="3" t="s">
        <v>39</v>
      </c>
      <c r="E71" s="34" t="str" cm="1">
        <f t="array" ref="E71">_xlfn.IFS(AND(W71&gt;=18,W71&lt;=25),"18-25",AND(W71&gt;25,W71&lt;=35),"26-35",AND(W71&gt;35,W71&lt;=45),"36-45",AND(W71&gt;45,W71&lt;=55),"46-55",AND(W71&gt;55,W71&lt;=65),"56-65",W71&gt;65,"65+")</f>
        <v>65+</v>
      </c>
      <c r="F71" s="34">
        <v>2</v>
      </c>
      <c r="G71" s="3" t="s">
        <v>56</v>
      </c>
      <c r="H71" s="34">
        <f t="shared" si="12"/>
        <v>0</v>
      </c>
      <c r="I71" s="34">
        <f t="shared" si="13"/>
        <v>0</v>
      </c>
      <c r="J71" s="34">
        <f t="shared" si="14"/>
        <v>1</v>
      </c>
      <c r="K71" s="34">
        <f t="shared" si="15"/>
        <v>0</v>
      </c>
      <c r="L71" s="35">
        <f t="shared" si="16"/>
        <v>0</v>
      </c>
      <c r="M71" s="36" t="str">
        <f t="shared" si="17"/>
        <v>LOW</v>
      </c>
      <c r="W71">
        <v>68</v>
      </c>
    </row>
    <row r="72" spans="1:23" x14ac:dyDescent="0.3">
      <c r="A72" s="3" t="s">
        <v>132</v>
      </c>
      <c r="B72" s="5">
        <v>11595.06</v>
      </c>
      <c r="C72" s="34">
        <v>23</v>
      </c>
      <c r="D72" s="3" t="s">
        <v>129</v>
      </c>
      <c r="E72" s="34" t="str" cm="1">
        <f t="array" ref="E72">_xlfn.IFS(AND(W72&gt;=18,W72&lt;=25),"18-25",AND(W72&gt;25,W72&lt;=35),"26-35",AND(W72&gt;35,W72&lt;=45),"36-45",AND(W72&gt;45,W72&lt;=55),"46-55",AND(W72&gt;55,W72&lt;=65),"56-65",W72&gt;65,"65+")</f>
        <v>56-65</v>
      </c>
      <c r="F72" s="34">
        <v>3</v>
      </c>
      <c r="G72" s="3" t="s">
        <v>63</v>
      </c>
      <c r="H72" s="34">
        <f t="shared" si="12"/>
        <v>1</v>
      </c>
      <c r="I72" s="34">
        <f t="shared" si="13"/>
        <v>0</v>
      </c>
      <c r="J72" s="34">
        <f t="shared" si="14"/>
        <v>1</v>
      </c>
      <c r="K72" s="34">
        <f t="shared" si="15"/>
        <v>1</v>
      </c>
      <c r="L72" s="35">
        <f t="shared" si="16"/>
        <v>5</v>
      </c>
      <c r="M72" s="36" t="str">
        <f t="shared" si="17"/>
        <v>MEDIUM</v>
      </c>
      <c r="W72">
        <v>58</v>
      </c>
    </row>
    <row r="73" spans="1:23" x14ac:dyDescent="0.3">
      <c r="A73" s="3" t="s">
        <v>133</v>
      </c>
      <c r="B73" s="5">
        <v>3020.8</v>
      </c>
      <c r="C73" s="34">
        <v>0</v>
      </c>
      <c r="D73" s="3" t="s">
        <v>85</v>
      </c>
      <c r="E73" s="34" t="str" cm="1">
        <f t="array" ref="E73">_xlfn.IFS(AND(W73&gt;=18,W73&lt;=25),"18-25",AND(W73&gt;25,W73&lt;=35),"26-35",AND(W73&gt;35,W73&lt;=45),"36-45",AND(W73&gt;45,W73&lt;=55),"46-55",AND(W73&gt;55,W73&lt;=65),"56-65",W73&gt;65,"65+")</f>
        <v>18-25</v>
      </c>
      <c r="F73" s="34">
        <v>8</v>
      </c>
      <c r="G73" s="3" t="s">
        <v>50</v>
      </c>
      <c r="H73" s="34">
        <f t="shared" si="12"/>
        <v>0</v>
      </c>
      <c r="I73" s="34">
        <f t="shared" si="13"/>
        <v>0</v>
      </c>
      <c r="J73" s="34">
        <f t="shared" si="14"/>
        <v>0</v>
      </c>
      <c r="K73" s="34">
        <f t="shared" si="15"/>
        <v>1</v>
      </c>
      <c r="L73" s="35">
        <f t="shared" si="16"/>
        <v>2</v>
      </c>
      <c r="M73" s="36" t="str">
        <f t="shared" si="17"/>
        <v>LOW</v>
      </c>
      <c r="W73">
        <v>24</v>
      </c>
    </row>
    <row r="74" spans="1:23" x14ac:dyDescent="0.3">
      <c r="A74" s="3" t="s">
        <v>134</v>
      </c>
      <c r="B74" s="5">
        <v>132.56</v>
      </c>
      <c r="C74" s="34">
        <v>23</v>
      </c>
      <c r="D74" s="3" t="s">
        <v>85</v>
      </c>
      <c r="E74" s="34" t="str" cm="1">
        <f t="array" ref="E74">_xlfn.IFS(AND(W74&gt;=18,W74&lt;=25),"18-25",AND(W74&gt;25,W74&lt;=35),"26-35",AND(W74&gt;35,W74&lt;=45),"36-45",AND(W74&gt;45,W74&lt;=55),"46-55",AND(W74&gt;55,W74&lt;=65),"56-65",W74&gt;65,"65+")</f>
        <v>18-25</v>
      </c>
      <c r="F74" s="34">
        <v>1</v>
      </c>
      <c r="G74" s="3" t="s">
        <v>40</v>
      </c>
      <c r="H74" s="34">
        <f t="shared" si="12"/>
        <v>0</v>
      </c>
      <c r="I74" s="34">
        <f t="shared" si="13"/>
        <v>0</v>
      </c>
      <c r="J74" s="34">
        <f t="shared" si="14"/>
        <v>0</v>
      </c>
      <c r="K74" s="34">
        <f t="shared" si="15"/>
        <v>0</v>
      </c>
      <c r="L74" s="35">
        <f t="shared" si="16"/>
        <v>0</v>
      </c>
      <c r="M74" s="36" t="str">
        <f t="shared" si="17"/>
        <v>LOW</v>
      </c>
      <c r="W74">
        <v>21</v>
      </c>
    </row>
    <row r="75" spans="1:23" x14ac:dyDescent="0.3">
      <c r="A75" s="3" t="s">
        <v>135</v>
      </c>
      <c r="B75" s="5">
        <v>12241.15</v>
      </c>
      <c r="C75" s="34">
        <v>19</v>
      </c>
      <c r="D75" s="3" t="s">
        <v>85</v>
      </c>
      <c r="E75" s="34" t="str" cm="1">
        <f t="array" ref="E75">_xlfn.IFS(AND(W75&gt;=18,W75&lt;=25),"18-25",AND(W75&gt;25,W75&lt;=35),"26-35",AND(W75&gt;35,W75&lt;=45),"36-45",AND(W75&gt;45,W75&lt;=55),"46-55",AND(W75&gt;55,W75&lt;=65),"56-65",W75&gt;65,"65+")</f>
        <v>65+</v>
      </c>
      <c r="F75" s="34">
        <v>8</v>
      </c>
      <c r="G75" s="3" t="s">
        <v>92</v>
      </c>
      <c r="H75" s="34">
        <f t="shared" si="12"/>
        <v>0</v>
      </c>
      <c r="I75" s="34">
        <f t="shared" si="13"/>
        <v>0</v>
      </c>
      <c r="J75" s="34">
        <f t="shared" si="14"/>
        <v>1</v>
      </c>
      <c r="K75" s="34">
        <f t="shared" si="15"/>
        <v>1</v>
      </c>
      <c r="L75" s="35">
        <f t="shared" si="16"/>
        <v>2</v>
      </c>
      <c r="M75" s="36" t="str">
        <f t="shared" si="17"/>
        <v>LOW</v>
      </c>
      <c r="W75">
        <v>75</v>
      </c>
    </row>
    <row r="76" spans="1:23" x14ac:dyDescent="0.3">
      <c r="A76" s="3" t="s">
        <v>136</v>
      </c>
      <c r="B76" s="5">
        <v>10617.52</v>
      </c>
      <c r="C76" s="34">
        <v>10</v>
      </c>
      <c r="D76" s="3" t="s">
        <v>129</v>
      </c>
      <c r="E76" s="34" t="str" cm="1">
        <f t="array" ref="E76">_xlfn.IFS(AND(W76&gt;=18,W76&lt;=25),"18-25",AND(W76&gt;25,W76&lt;=35),"26-35",AND(W76&gt;35,W76&lt;=45),"36-45",AND(W76&gt;45,W76&lt;=55),"46-55",AND(W76&gt;55,W76&lt;=65),"56-65",W76&gt;65,"65+")</f>
        <v>65+</v>
      </c>
      <c r="F76" s="34">
        <v>0</v>
      </c>
      <c r="G76" s="3" t="s">
        <v>123</v>
      </c>
      <c r="H76" s="34">
        <f t="shared" si="12"/>
        <v>1</v>
      </c>
      <c r="I76" s="34">
        <f t="shared" si="13"/>
        <v>0</v>
      </c>
      <c r="J76" s="34">
        <f t="shared" si="14"/>
        <v>1</v>
      </c>
      <c r="K76" s="34">
        <f t="shared" si="15"/>
        <v>0</v>
      </c>
      <c r="L76" s="35">
        <f t="shared" si="16"/>
        <v>5</v>
      </c>
      <c r="M76" s="36" t="str">
        <f t="shared" si="17"/>
        <v>MEDIUM</v>
      </c>
      <c r="W76">
        <v>70</v>
      </c>
    </row>
    <row r="77" spans="1:23" x14ac:dyDescent="0.3">
      <c r="A77" s="3" t="s">
        <v>137</v>
      </c>
      <c r="B77" s="5">
        <v>10948.66</v>
      </c>
      <c r="C77" s="34">
        <v>16</v>
      </c>
      <c r="D77" s="3" t="s">
        <v>49</v>
      </c>
      <c r="E77" s="34" t="str" cm="1">
        <f t="array" ref="E77">_xlfn.IFS(AND(W77&gt;=18,W77&lt;=25),"18-25",AND(W77&gt;25,W77&lt;=35),"26-35",AND(W77&gt;35,W77&lt;=45),"36-45",AND(W77&gt;45,W77&lt;=55),"46-55",AND(W77&gt;55,W77&lt;=65),"56-65",W77&gt;65,"65+")</f>
        <v>65+</v>
      </c>
      <c r="F77" s="34">
        <v>0</v>
      </c>
      <c r="G77" s="3" t="s">
        <v>56</v>
      </c>
      <c r="H77" s="34">
        <f t="shared" si="12"/>
        <v>0</v>
      </c>
      <c r="I77" s="34">
        <f t="shared" si="13"/>
        <v>0</v>
      </c>
      <c r="J77" s="34">
        <f t="shared" si="14"/>
        <v>1</v>
      </c>
      <c r="K77" s="34">
        <f t="shared" si="15"/>
        <v>0</v>
      </c>
      <c r="L77" s="35">
        <f t="shared" si="16"/>
        <v>0</v>
      </c>
      <c r="M77" s="36" t="str">
        <f t="shared" si="17"/>
        <v>LOW</v>
      </c>
      <c r="W77">
        <v>67</v>
      </c>
    </row>
    <row r="78" spans="1:23" x14ac:dyDescent="0.3">
      <c r="A78" s="3" t="s">
        <v>138</v>
      </c>
      <c r="B78" s="5">
        <v>11580.49</v>
      </c>
      <c r="C78" s="34">
        <v>7</v>
      </c>
      <c r="D78" s="3" t="s">
        <v>91</v>
      </c>
      <c r="E78" s="34" t="str" cm="1">
        <f t="array" ref="E78">_xlfn.IFS(AND(W78&gt;=18,W78&lt;=25),"18-25",AND(W78&gt;25,W78&lt;=35),"26-35",AND(W78&gt;35,W78&lt;=45),"36-45",AND(W78&gt;45,W78&lt;=55),"46-55",AND(W78&gt;55,W78&lt;=65),"56-65",W78&gt;65,"65+")</f>
        <v>56-65</v>
      </c>
      <c r="F78" s="34">
        <v>4</v>
      </c>
      <c r="G78" s="3" t="s">
        <v>40</v>
      </c>
      <c r="H78" s="34">
        <f t="shared" si="12"/>
        <v>1</v>
      </c>
      <c r="I78" s="34">
        <f t="shared" si="13"/>
        <v>0</v>
      </c>
      <c r="J78" s="34">
        <f t="shared" si="14"/>
        <v>1</v>
      </c>
      <c r="K78" s="34">
        <f t="shared" si="15"/>
        <v>1</v>
      </c>
      <c r="L78" s="35">
        <f t="shared" si="16"/>
        <v>5</v>
      </c>
      <c r="M78" s="36" t="str">
        <f t="shared" si="17"/>
        <v>MEDIUM</v>
      </c>
      <c r="W78">
        <v>62</v>
      </c>
    </row>
    <row r="79" spans="1:23" x14ac:dyDescent="0.3">
      <c r="A79" s="3" t="s">
        <v>139</v>
      </c>
      <c r="B79" s="5">
        <v>1156.97</v>
      </c>
      <c r="C79" s="34">
        <v>3</v>
      </c>
      <c r="D79" s="3" t="s">
        <v>31</v>
      </c>
      <c r="E79" s="34" t="str" cm="1">
        <f t="array" ref="E79">_xlfn.IFS(AND(W79&gt;=18,W79&lt;=25),"18-25",AND(W79&gt;25,W79&lt;=35),"26-35",AND(W79&gt;35,W79&lt;=45),"36-45",AND(W79&gt;45,W79&lt;=55),"46-55",AND(W79&gt;55,W79&lt;=65),"56-65",W79&gt;65,"65+")</f>
        <v>26-35</v>
      </c>
      <c r="F79" s="34">
        <v>5</v>
      </c>
      <c r="G79" s="3" t="s">
        <v>29</v>
      </c>
      <c r="H79" s="34">
        <f t="shared" si="12"/>
        <v>1</v>
      </c>
      <c r="I79" s="34">
        <f t="shared" si="13"/>
        <v>1</v>
      </c>
      <c r="J79" s="34">
        <f t="shared" si="14"/>
        <v>0</v>
      </c>
      <c r="K79" s="34">
        <f t="shared" si="15"/>
        <v>1</v>
      </c>
      <c r="L79" s="35">
        <f t="shared" si="16"/>
        <v>2</v>
      </c>
      <c r="M79" s="36" t="str">
        <f t="shared" si="17"/>
        <v>LOW</v>
      </c>
      <c r="W79">
        <v>28</v>
      </c>
    </row>
    <row r="80" spans="1:23" x14ac:dyDescent="0.3">
      <c r="A80" s="3" t="s">
        <v>140</v>
      </c>
      <c r="B80" s="5">
        <v>5409.06</v>
      </c>
      <c r="C80" s="34">
        <v>5</v>
      </c>
      <c r="D80" s="3" t="s">
        <v>74</v>
      </c>
      <c r="E80" s="34" t="str" cm="1">
        <f t="array" ref="E80">_xlfn.IFS(AND(W80&gt;=18,W80&lt;=25),"18-25",AND(W80&gt;25,W80&lt;=35),"26-35",AND(W80&gt;35,W80&lt;=45),"36-45",AND(W80&gt;45,W80&lt;=55),"46-55",AND(W80&gt;55,W80&lt;=65),"56-65",W80&gt;65,"65+")</f>
        <v>46-55</v>
      </c>
      <c r="F80" s="34">
        <v>5</v>
      </c>
      <c r="G80" s="3" t="s">
        <v>107</v>
      </c>
      <c r="H80" s="34">
        <f t="shared" si="12"/>
        <v>0</v>
      </c>
      <c r="I80" s="34">
        <f t="shared" si="13"/>
        <v>1</v>
      </c>
      <c r="J80" s="34">
        <f t="shared" si="14"/>
        <v>1</v>
      </c>
      <c r="K80" s="34">
        <f t="shared" si="15"/>
        <v>1</v>
      </c>
      <c r="L80" s="35">
        <f t="shared" si="16"/>
        <v>4</v>
      </c>
      <c r="M80" s="36" t="str">
        <f t="shared" si="17"/>
        <v>MEDIUM</v>
      </c>
      <c r="W80">
        <v>46</v>
      </c>
    </row>
    <row r="81" spans="1:23" x14ac:dyDescent="0.3">
      <c r="A81" s="3" t="s">
        <v>141</v>
      </c>
      <c r="B81" s="5">
        <v>1782.24</v>
      </c>
      <c r="C81" s="34">
        <v>7</v>
      </c>
      <c r="D81" s="3" t="s">
        <v>91</v>
      </c>
      <c r="E81" s="34" t="str" cm="1">
        <f t="array" ref="E81">_xlfn.IFS(AND(W81&gt;=18,W81&lt;=25),"18-25",AND(W81&gt;25,W81&lt;=35),"26-35",AND(W81&gt;35,W81&lt;=45),"36-45",AND(W81&gt;45,W81&lt;=55),"46-55",AND(W81&gt;55,W81&lt;=65),"56-65",W81&gt;65,"65+")</f>
        <v>65+</v>
      </c>
      <c r="F81" s="34">
        <v>2</v>
      </c>
      <c r="G81" s="3" t="s">
        <v>37</v>
      </c>
      <c r="H81" s="34">
        <f t="shared" si="12"/>
        <v>1</v>
      </c>
      <c r="I81" s="34">
        <f t="shared" si="13"/>
        <v>0</v>
      </c>
      <c r="J81" s="34">
        <f t="shared" si="14"/>
        <v>0</v>
      </c>
      <c r="K81" s="34">
        <f t="shared" si="15"/>
        <v>0</v>
      </c>
      <c r="L81" s="35">
        <f t="shared" si="16"/>
        <v>0</v>
      </c>
      <c r="M81" s="36" t="str">
        <f t="shared" si="17"/>
        <v>LOW</v>
      </c>
      <c r="W81">
        <v>73</v>
      </c>
    </row>
    <row r="82" spans="1:23" x14ac:dyDescent="0.3">
      <c r="A82" s="3" t="s">
        <v>142</v>
      </c>
      <c r="B82" s="5">
        <v>12953.4</v>
      </c>
      <c r="C82" s="34">
        <v>19</v>
      </c>
      <c r="D82" s="3" t="s">
        <v>42</v>
      </c>
      <c r="E82" s="34" t="str" cm="1">
        <f t="array" ref="E82">_xlfn.IFS(AND(W82&gt;=18,W82&lt;=25),"18-25",AND(W82&gt;25,W82&lt;=35),"26-35",AND(W82&gt;35,W82&lt;=45),"36-45",AND(W82&gt;45,W82&lt;=55),"46-55",AND(W82&gt;55,W82&lt;=65),"56-65",W82&gt;65,"65+")</f>
        <v>46-55</v>
      </c>
      <c r="F82" s="34">
        <v>6</v>
      </c>
      <c r="G82" s="3" t="s">
        <v>86</v>
      </c>
      <c r="H82" s="34">
        <f t="shared" si="12"/>
        <v>0</v>
      </c>
      <c r="I82" s="34">
        <f t="shared" si="13"/>
        <v>0</v>
      </c>
      <c r="J82" s="34">
        <f t="shared" si="14"/>
        <v>1</v>
      </c>
      <c r="K82" s="34">
        <f t="shared" si="15"/>
        <v>1</v>
      </c>
      <c r="L82" s="35">
        <f t="shared" si="16"/>
        <v>2</v>
      </c>
      <c r="M82" s="36" t="str">
        <f t="shared" si="17"/>
        <v>LOW</v>
      </c>
      <c r="W82">
        <v>53</v>
      </c>
    </row>
    <row r="83" spans="1:23" x14ac:dyDescent="0.3">
      <c r="A83" s="3" t="s">
        <v>143</v>
      </c>
      <c r="B83" s="5">
        <v>9368.31</v>
      </c>
      <c r="C83" s="34">
        <v>2</v>
      </c>
      <c r="D83" s="3" t="s">
        <v>36</v>
      </c>
      <c r="E83" s="34" t="str" cm="1">
        <f t="array" ref="E83">_xlfn.IFS(AND(W83&gt;=18,W83&lt;=25),"18-25",AND(W83&gt;25,W83&lt;=35),"26-35",AND(W83&gt;35,W83&lt;=45),"36-45",AND(W83&gt;45,W83&lt;=55),"46-55",AND(W83&gt;55,W83&lt;=65),"56-65",W83&gt;65,"65+")</f>
        <v>36-45</v>
      </c>
      <c r="F83" s="34">
        <v>8</v>
      </c>
      <c r="G83" s="3" t="s">
        <v>26</v>
      </c>
      <c r="H83" s="34">
        <f t="shared" si="12"/>
        <v>1</v>
      </c>
      <c r="I83" s="34">
        <f t="shared" si="13"/>
        <v>1</v>
      </c>
      <c r="J83" s="34">
        <f t="shared" si="14"/>
        <v>1</v>
      </c>
      <c r="K83" s="34">
        <f t="shared" si="15"/>
        <v>1</v>
      </c>
      <c r="L83" s="35">
        <f t="shared" si="16"/>
        <v>14</v>
      </c>
      <c r="M83" s="36" t="str">
        <f t="shared" si="17"/>
        <v>CRITICAL</v>
      </c>
      <c r="W83">
        <v>42</v>
      </c>
    </row>
    <row r="84" spans="1:23" x14ac:dyDescent="0.3">
      <c r="A84" s="3" t="s">
        <v>144</v>
      </c>
      <c r="B84" s="5">
        <v>4996.93</v>
      </c>
      <c r="C84" s="34">
        <v>15</v>
      </c>
      <c r="D84" s="3" t="s">
        <v>49</v>
      </c>
      <c r="E84" s="34" t="str" cm="1">
        <f t="array" ref="E84">_xlfn.IFS(AND(W84&gt;=18,W84&lt;=25),"18-25",AND(W84&gt;25,W84&lt;=35),"26-35",AND(W84&gt;35,W84&lt;=45),"36-45",AND(W84&gt;45,W84&lt;=55),"46-55",AND(W84&gt;55,W84&lt;=65),"56-65",W84&gt;65,"65+")</f>
        <v>36-45</v>
      </c>
      <c r="F84" s="34">
        <v>9</v>
      </c>
      <c r="G84" s="3" t="s">
        <v>110</v>
      </c>
      <c r="H84" s="34">
        <f t="shared" si="12"/>
        <v>0</v>
      </c>
      <c r="I84" s="34">
        <f t="shared" si="13"/>
        <v>0</v>
      </c>
      <c r="J84" s="34">
        <f t="shared" si="14"/>
        <v>0</v>
      </c>
      <c r="K84" s="34">
        <f t="shared" si="15"/>
        <v>1</v>
      </c>
      <c r="L84" s="35">
        <f t="shared" si="16"/>
        <v>2</v>
      </c>
      <c r="M84" s="36" t="str">
        <f t="shared" si="17"/>
        <v>LOW</v>
      </c>
      <c r="W84">
        <v>38</v>
      </c>
    </row>
    <row r="85" spans="1:23" x14ac:dyDescent="0.3">
      <c r="A85" s="3" t="s">
        <v>145</v>
      </c>
      <c r="B85" s="5">
        <v>1000.2</v>
      </c>
      <c r="C85" s="34">
        <v>2</v>
      </c>
      <c r="D85" s="3" t="s">
        <v>39</v>
      </c>
      <c r="E85" s="34" t="str" cm="1">
        <f t="array" ref="E85">_xlfn.IFS(AND(W85&gt;=18,W85&lt;=25),"18-25",AND(W85&gt;25,W85&lt;=35),"26-35",AND(W85&gt;35,W85&lt;=45),"36-45",AND(W85&gt;45,W85&lt;=55),"46-55",AND(W85&gt;55,W85&lt;=65),"56-65",W85&gt;65,"65+")</f>
        <v>65+</v>
      </c>
      <c r="F85" s="34">
        <v>7</v>
      </c>
      <c r="G85" s="3" t="s">
        <v>94</v>
      </c>
      <c r="H85" s="34">
        <f t="shared" si="12"/>
        <v>0</v>
      </c>
      <c r="I85" s="34">
        <f t="shared" si="13"/>
        <v>1</v>
      </c>
      <c r="J85" s="34">
        <f t="shared" si="14"/>
        <v>0</v>
      </c>
      <c r="K85" s="34">
        <f t="shared" si="15"/>
        <v>1</v>
      </c>
      <c r="L85" s="35">
        <f t="shared" si="16"/>
        <v>2</v>
      </c>
      <c r="M85" s="36" t="str">
        <f t="shared" si="17"/>
        <v>LOW</v>
      </c>
      <c r="W85">
        <v>78</v>
      </c>
    </row>
    <row r="86" spans="1:23" x14ac:dyDescent="0.3">
      <c r="A86" s="3" t="s">
        <v>146</v>
      </c>
      <c r="B86" s="5">
        <v>4699.1899999999996</v>
      </c>
      <c r="C86" s="34">
        <v>17</v>
      </c>
      <c r="D86" s="3" t="s">
        <v>91</v>
      </c>
      <c r="E86" s="34" t="str" cm="1">
        <f t="array" ref="E86">_xlfn.IFS(AND(W86&gt;=18,W86&lt;=25),"18-25",AND(W86&gt;25,W86&lt;=35),"26-35",AND(W86&gt;35,W86&lt;=45),"36-45",AND(W86&gt;45,W86&lt;=55),"46-55",AND(W86&gt;55,W86&lt;=65),"56-65",W86&gt;65,"65+")</f>
        <v>65+</v>
      </c>
      <c r="F86" s="34">
        <v>5</v>
      </c>
      <c r="G86" s="3" t="s">
        <v>110</v>
      </c>
      <c r="H86" s="34">
        <f t="shared" si="12"/>
        <v>1</v>
      </c>
      <c r="I86" s="34">
        <f t="shared" si="13"/>
        <v>0</v>
      </c>
      <c r="J86" s="34">
        <f t="shared" si="14"/>
        <v>0</v>
      </c>
      <c r="K86" s="34">
        <f t="shared" si="15"/>
        <v>1</v>
      </c>
      <c r="L86" s="35">
        <f t="shared" si="16"/>
        <v>4</v>
      </c>
      <c r="M86" s="36" t="str">
        <f t="shared" si="17"/>
        <v>MEDIUM</v>
      </c>
      <c r="W86">
        <v>74</v>
      </c>
    </row>
    <row r="87" spans="1:23" x14ac:dyDescent="0.3">
      <c r="A87" s="3" t="s">
        <v>147</v>
      </c>
      <c r="B87" s="5">
        <v>4911.49</v>
      </c>
      <c r="C87" s="34">
        <v>13</v>
      </c>
      <c r="D87" s="3" t="s">
        <v>74</v>
      </c>
      <c r="E87" s="34" t="str" cm="1">
        <f t="array" ref="E87">_xlfn.IFS(AND(W87&gt;=18,W87&lt;=25),"18-25",AND(W87&gt;25,W87&lt;=35),"26-35",AND(W87&gt;35,W87&lt;=45),"36-45",AND(W87&gt;45,W87&lt;=55),"46-55",AND(W87&gt;55,W87&lt;=65),"56-65",W87&gt;65,"65+")</f>
        <v>46-55</v>
      </c>
      <c r="F87" s="34">
        <v>7</v>
      </c>
      <c r="G87" s="3" t="s">
        <v>110</v>
      </c>
      <c r="H87" s="34">
        <f t="shared" si="12"/>
        <v>0</v>
      </c>
      <c r="I87" s="34">
        <f t="shared" si="13"/>
        <v>0</v>
      </c>
      <c r="J87" s="34">
        <f t="shared" si="14"/>
        <v>0</v>
      </c>
      <c r="K87" s="34">
        <f t="shared" si="15"/>
        <v>1</v>
      </c>
      <c r="L87" s="35">
        <f t="shared" si="16"/>
        <v>2</v>
      </c>
      <c r="M87" s="36" t="str">
        <f t="shared" si="17"/>
        <v>LOW</v>
      </c>
      <c r="W87">
        <v>53</v>
      </c>
    </row>
    <row r="88" spans="1:23" x14ac:dyDescent="0.3">
      <c r="A88" s="3" t="s">
        <v>148</v>
      </c>
      <c r="B88" s="5">
        <v>10957.61</v>
      </c>
      <c r="C88" s="34">
        <v>17</v>
      </c>
      <c r="D88" s="3" t="s">
        <v>46</v>
      </c>
      <c r="E88" s="34" t="str" cm="1">
        <f t="array" ref="E88">_xlfn.IFS(AND(W88&gt;=18,W88&lt;=25),"18-25",AND(W88&gt;25,W88&lt;=35),"26-35",AND(W88&gt;35,W88&lt;=45),"36-45",AND(W88&gt;45,W88&lt;=55),"46-55",AND(W88&gt;55,W88&lt;=65),"56-65",W88&gt;65,"65+")</f>
        <v>26-35</v>
      </c>
      <c r="F88" s="34">
        <v>4</v>
      </c>
      <c r="G88" s="3" t="s">
        <v>67</v>
      </c>
      <c r="H88" s="34">
        <f t="shared" si="12"/>
        <v>1</v>
      </c>
      <c r="I88" s="34">
        <f t="shared" si="13"/>
        <v>0</v>
      </c>
      <c r="J88" s="34">
        <f t="shared" si="14"/>
        <v>1</v>
      </c>
      <c r="K88" s="34">
        <f t="shared" si="15"/>
        <v>1</v>
      </c>
      <c r="L88" s="35">
        <f t="shared" si="16"/>
        <v>5</v>
      </c>
      <c r="M88" s="36" t="str">
        <f t="shared" si="17"/>
        <v>MEDIUM</v>
      </c>
      <c r="W88">
        <v>27</v>
      </c>
    </row>
    <row r="89" spans="1:23" x14ac:dyDescent="0.3">
      <c r="A89" s="3" t="s">
        <v>149</v>
      </c>
      <c r="B89" s="5">
        <v>9581.48</v>
      </c>
      <c r="C89" s="34">
        <v>1</v>
      </c>
      <c r="D89" s="3" t="s">
        <v>85</v>
      </c>
      <c r="E89" s="34" t="str" cm="1">
        <f t="array" ref="E89">_xlfn.IFS(AND(W89&gt;=18,W89&lt;=25),"18-25",AND(W89&gt;25,W89&lt;=35),"26-35",AND(W89&gt;35,W89&lt;=45),"36-45",AND(W89&gt;45,W89&lt;=55),"46-55",AND(W89&gt;55,W89&lt;=65),"56-65",W89&gt;65,"65+")</f>
        <v>46-55</v>
      </c>
      <c r="F89" s="34">
        <v>7</v>
      </c>
      <c r="G89" s="3" t="s">
        <v>50</v>
      </c>
      <c r="H89" s="34">
        <f t="shared" si="12"/>
        <v>0</v>
      </c>
      <c r="I89" s="34">
        <f t="shared" si="13"/>
        <v>0</v>
      </c>
      <c r="J89" s="34">
        <f t="shared" si="14"/>
        <v>1</v>
      </c>
      <c r="K89" s="34">
        <f t="shared" si="15"/>
        <v>1</v>
      </c>
      <c r="L89" s="35">
        <f t="shared" si="16"/>
        <v>2</v>
      </c>
      <c r="M89" s="36" t="str">
        <f t="shared" si="17"/>
        <v>LOW</v>
      </c>
      <c r="W89">
        <v>54</v>
      </c>
    </row>
    <row r="90" spans="1:23" x14ac:dyDescent="0.3">
      <c r="A90" s="3" t="s">
        <v>150</v>
      </c>
      <c r="B90" s="5">
        <v>13313.83</v>
      </c>
      <c r="C90" s="34">
        <v>21</v>
      </c>
      <c r="D90" s="3" t="s">
        <v>28</v>
      </c>
      <c r="E90" s="34" t="str" cm="1">
        <f t="array" ref="E90">_xlfn.IFS(AND(W90&gt;=18,W90&lt;=25),"18-25",AND(W90&gt;25,W90&lt;=35),"26-35",AND(W90&gt;35,W90&lt;=45),"36-45",AND(W90&gt;45,W90&lt;=55),"46-55",AND(W90&gt;55,W90&lt;=65),"56-65",W90&gt;65,"65+")</f>
        <v>26-35</v>
      </c>
      <c r="F90" s="34">
        <v>9</v>
      </c>
      <c r="G90" s="3" t="s">
        <v>37</v>
      </c>
      <c r="H90" s="34">
        <f t="shared" si="12"/>
        <v>0</v>
      </c>
      <c r="I90" s="34">
        <f t="shared" si="13"/>
        <v>0</v>
      </c>
      <c r="J90" s="34">
        <f t="shared" si="14"/>
        <v>1</v>
      </c>
      <c r="K90" s="34">
        <f t="shared" si="15"/>
        <v>1</v>
      </c>
      <c r="L90" s="35">
        <f t="shared" si="16"/>
        <v>2</v>
      </c>
      <c r="M90" s="36" t="str">
        <f t="shared" si="17"/>
        <v>LOW</v>
      </c>
      <c r="W90">
        <v>26</v>
      </c>
    </row>
    <row r="91" spans="1:23" x14ac:dyDescent="0.3">
      <c r="A91" s="3" t="s">
        <v>151</v>
      </c>
      <c r="B91" s="5">
        <v>7109.61</v>
      </c>
      <c r="C91" s="34">
        <v>2</v>
      </c>
      <c r="D91" s="3" t="s">
        <v>42</v>
      </c>
      <c r="E91" s="34" t="str" cm="1">
        <f t="array" ref="E91">_xlfn.IFS(AND(W91&gt;=18,W91&lt;=25),"18-25",AND(W91&gt;25,W91&lt;=35),"26-35",AND(W91&gt;35,W91&lt;=45),"36-45",AND(W91&gt;45,W91&lt;=55),"46-55",AND(W91&gt;55,W91&lt;=65),"56-65",W91&gt;65,"65+")</f>
        <v>36-45</v>
      </c>
      <c r="F91" s="34">
        <v>3</v>
      </c>
      <c r="G91" s="3" t="s">
        <v>78</v>
      </c>
      <c r="H91" s="34">
        <f t="shared" si="12"/>
        <v>0</v>
      </c>
      <c r="I91" s="34">
        <f t="shared" si="13"/>
        <v>1</v>
      </c>
      <c r="J91" s="34">
        <f t="shared" si="14"/>
        <v>1</v>
      </c>
      <c r="K91" s="34">
        <f t="shared" si="15"/>
        <v>1</v>
      </c>
      <c r="L91" s="35">
        <f t="shared" si="16"/>
        <v>2</v>
      </c>
      <c r="M91" s="36" t="str">
        <f t="shared" si="17"/>
        <v>LOW</v>
      </c>
      <c r="W91">
        <v>41</v>
      </c>
    </row>
    <row r="92" spans="1:23" x14ac:dyDescent="0.3">
      <c r="A92" s="3" t="s">
        <v>152</v>
      </c>
      <c r="B92" s="5">
        <v>1837.93</v>
      </c>
      <c r="C92" s="34">
        <v>15</v>
      </c>
      <c r="D92" s="3" t="s">
        <v>36</v>
      </c>
      <c r="E92" s="34" t="str" cm="1">
        <f t="array" ref="E92">_xlfn.IFS(AND(W92&gt;=18,W92&lt;=25),"18-25",AND(W92&gt;25,W92&lt;=35),"26-35",AND(W92&gt;35,W92&lt;=45),"36-45",AND(W92&gt;45,W92&lt;=55),"46-55",AND(W92&gt;55,W92&lt;=65),"56-65",W92&gt;65,"65+")</f>
        <v>46-55</v>
      </c>
      <c r="F92" s="34">
        <v>9</v>
      </c>
      <c r="G92" s="3" t="s">
        <v>50</v>
      </c>
      <c r="H92" s="34">
        <f t="shared" si="12"/>
        <v>1</v>
      </c>
      <c r="I92" s="34">
        <f t="shared" si="13"/>
        <v>0</v>
      </c>
      <c r="J92" s="34">
        <f t="shared" si="14"/>
        <v>0</v>
      </c>
      <c r="K92" s="34">
        <f t="shared" si="15"/>
        <v>1</v>
      </c>
      <c r="L92" s="35">
        <f t="shared" si="16"/>
        <v>2</v>
      </c>
      <c r="M92" s="36" t="str">
        <f t="shared" si="17"/>
        <v>LOW</v>
      </c>
      <c r="W92">
        <v>52</v>
      </c>
    </row>
    <row r="93" spans="1:23" x14ac:dyDescent="0.3">
      <c r="A93" s="3" t="s">
        <v>153</v>
      </c>
      <c r="B93" s="5">
        <v>10713.01</v>
      </c>
      <c r="C93" s="34">
        <v>8</v>
      </c>
      <c r="D93" s="3" t="s">
        <v>62</v>
      </c>
      <c r="E93" s="34" t="str" cm="1">
        <f t="array" ref="E93">_xlfn.IFS(AND(W93&gt;=18,W93&lt;=25),"18-25",AND(W93&gt;25,W93&lt;=35),"26-35",AND(W93&gt;35,W93&lt;=45),"36-45",AND(W93&gt;45,W93&lt;=55),"46-55",AND(W93&gt;55,W93&lt;=65),"56-65",W93&gt;65,"65+")</f>
        <v>65+</v>
      </c>
      <c r="F93" s="34">
        <v>7</v>
      </c>
      <c r="G93" s="3" t="s">
        <v>26</v>
      </c>
      <c r="H93" s="34">
        <f t="shared" si="12"/>
        <v>1</v>
      </c>
      <c r="I93" s="34">
        <f t="shared" si="13"/>
        <v>0</v>
      </c>
      <c r="J93" s="34">
        <f t="shared" si="14"/>
        <v>1</v>
      </c>
      <c r="K93" s="34">
        <f t="shared" si="15"/>
        <v>1</v>
      </c>
      <c r="L93" s="35">
        <f t="shared" si="16"/>
        <v>7</v>
      </c>
      <c r="M93" s="36" t="str">
        <f t="shared" si="17"/>
        <v>HIGH</v>
      </c>
      <c r="W93">
        <v>66</v>
      </c>
    </row>
    <row r="94" spans="1:23" x14ac:dyDescent="0.3">
      <c r="A94" s="3" t="s">
        <v>154</v>
      </c>
      <c r="B94" s="5">
        <v>11423.74</v>
      </c>
      <c r="C94" s="34">
        <v>3</v>
      </c>
      <c r="D94" s="3" t="s">
        <v>39</v>
      </c>
      <c r="E94" s="34" t="str" cm="1">
        <f t="array" ref="E94">_xlfn.IFS(AND(W94&gt;=18,W94&lt;=25),"18-25",AND(W94&gt;25,W94&lt;=35),"26-35",AND(W94&gt;35,W94&lt;=45),"36-45",AND(W94&gt;45,W94&lt;=55),"46-55",AND(W94&gt;55,W94&lt;=65),"56-65",W94&gt;65,"65+")</f>
        <v>46-55</v>
      </c>
      <c r="F94" s="34">
        <v>9</v>
      </c>
      <c r="G94" s="3" t="s">
        <v>56</v>
      </c>
      <c r="H94" s="34">
        <f t="shared" si="12"/>
        <v>0</v>
      </c>
      <c r="I94" s="34">
        <f t="shared" si="13"/>
        <v>1</v>
      </c>
      <c r="J94" s="34">
        <f t="shared" si="14"/>
        <v>1</v>
      </c>
      <c r="K94" s="34">
        <f t="shared" si="15"/>
        <v>1</v>
      </c>
      <c r="L94" s="35">
        <f t="shared" si="16"/>
        <v>4</v>
      </c>
      <c r="M94" s="36" t="str">
        <f t="shared" si="17"/>
        <v>MEDIUM</v>
      </c>
      <c r="W94">
        <v>52</v>
      </c>
    </row>
    <row r="95" spans="1:23" x14ac:dyDescent="0.3">
      <c r="A95" s="3" t="s">
        <v>155</v>
      </c>
      <c r="B95" s="5">
        <v>8441.09</v>
      </c>
      <c r="C95" s="34">
        <v>0</v>
      </c>
      <c r="D95" s="3" t="s">
        <v>36</v>
      </c>
      <c r="E95" s="34" t="str" cm="1">
        <f t="array" ref="E95">_xlfn.IFS(AND(W95&gt;=18,W95&lt;=25),"18-25",AND(W95&gt;25,W95&lt;=35),"26-35",AND(W95&gt;35,W95&lt;=45),"36-45",AND(W95&gt;45,W95&lt;=55),"46-55",AND(W95&gt;55,W95&lt;=65),"56-65",W95&gt;65,"65+")</f>
        <v>56-65</v>
      </c>
      <c r="F95" s="34">
        <v>1</v>
      </c>
      <c r="G95" s="3" t="s">
        <v>72</v>
      </c>
      <c r="H95" s="34">
        <f t="shared" si="12"/>
        <v>1</v>
      </c>
      <c r="I95" s="34">
        <f t="shared" si="13"/>
        <v>0</v>
      </c>
      <c r="J95" s="34">
        <f t="shared" si="14"/>
        <v>1</v>
      </c>
      <c r="K95" s="34">
        <f t="shared" si="15"/>
        <v>0</v>
      </c>
      <c r="L95" s="35">
        <f t="shared" si="16"/>
        <v>5</v>
      </c>
      <c r="M95" s="36" t="str">
        <f t="shared" si="17"/>
        <v>MEDIUM</v>
      </c>
      <c r="W95">
        <v>65</v>
      </c>
    </row>
    <row r="96" spans="1:23" x14ac:dyDescent="0.3">
      <c r="A96" s="3" t="s">
        <v>156</v>
      </c>
      <c r="B96" s="5">
        <v>11575.96</v>
      </c>
      <c r="C96" s="34">
        <v>3</v>
      </c>
      <c r="D96" s="3" t="s">
        <v>85</v>
      </c>
      <c r="E96" s="34" t="str" cm="1">
        <f t="array" ref="E96">_xlfn.IFS(AND(W96&gt;=18,W96&lt;=25),"18-25",AND(W96&gt;25,W96&lt;=35),"26-35",AND(W96&gt;35,W96&lt;=45),"36-45",AND(W96&gt;45,W96&lt;=55),"46-55",AND(W96&gt;55,W96&lt;=65),"56-65",W96&gt;65,"65+")</f>
        <v>46-55</v>
      </c>
      <c r="F96" s="34">
        <v>4</v>
      </c>
      <c r="G96" s="3" t="s">
        <v>26</v>
      </c>
      <c r="H96" s="34">
        <f t="shared" si="12"/>
        <v>0</v>
      </c>
      <c r="I96" s="34">
        <f t="shared" si="13"/>
        <v>1</v>
      </c>
      <c r="J96" s="34">
        <f t="shared" si="14"/>
        <v>1</v>
      </c>
      <c r="K96" s="34">
        <f t="shared" si="15"/>
        <v>1</v>
      </c>
      <c r="L96" s="35">
        <f t="shared" si="16"/>
        <v>2</v>
      </c>
      <c r="M96" s="36" t="str">
        <f t="shared" si="17"/>
        <v>LOW</v>
      </c>
      <c r="W96">
        <v>53</v>
      </c>
    </row>
    <row r="97" spans="1:23" x14ac:dyDescent="0.3">
      <c r="A97" s="3" t="s">
        <v>157</v>
      </c>
      <c r="B97" s="5">
        <v>7432.24</v>
      </c>
      <c r="C97" s="34">
        <v>0</v>
      </c>
      <c r="D97" s="3" t="s">
        <v>28</v>
      </c>
      <c r="E97" s="34" t="str" cm="1">
        <f t="array" ref="E97">_xlfn.IFS(AND(W97&gt;=18,W97&lt;=25),"18-25",AND(W97&gt;25,W97&lt;=35),"26-35",AND(W97&gt;35,W97&lt;=45),"36-45",AND(W97&gt;45,W97&lt;=55),"46-55",AND(W97&gt;55,W97&lt;=65),"56-65",W97&gt;65,"65+")</f>
        <v>26-35</v>
      </c>
      <c r="F97" s="34">
        <v>8</v>
      </c>
      <c r="G97" s="3" t="s">
        <v>94</v>
      </c>
      <c r="H97" s="34">
        <f t="shared" si="12"/>
        <v>0</v>
      </c>
      <c r="I97" s="34">
        <f t="shared" si="13"/>
        <v>0</v>
      </c>
      <c r="J97" s="34">
        <f t="shared" si="14"/>
        <v>1</v>
      </c>
      <c r="K97" s="34">
        <f t="shared" si="15"/>
        <v>1</v>
      </c>
      <c r="L97" s="35">
        <f t="shared" si="16"/>
        <v>2</v>
      </c>
      <c r="M97" s="36" t="str">
        <f t="shared" si="17"/>
        <v>LOW</v>
      </c>
      <c r="W97">
        <v>35</v>
      </c>
    </row>
    <row r="98" spans="1:23" x14ac:dyDescent="0.3">
      <c r="A98" s="3" t="s">
        <v>158</v>
      </c>
      <c r="B98" s="5">
        <v>7864.86</v>
      </c>
      <c r="C98" s="34">
        <v>13</v>
      </c>
      <c r="D98" s="3" t="s">
        <v>49</v>
      </c>
      <c r="E98" s="34" t="str" cm="1">
        <f t="array" ref="E98">_xlfn.IFS(AND(W98&gt;=18,W98&lt;=25),"18-25",AND(W98&gt;25,W98&lt;=35),"26-35",AND(W98&gt;35,W98&lt;=45),"36-45",AND(W98&gt;45,W98&lt;=55),"46-55",AND(W98&gt;55,W98&lt;=65),"56-65",W98&gt;65,"65+")</f>
        <v>65+</v>
      </c>
      <c r="F98" s="34">
        <v>3</v>
      </c>
      <c r="G98" s="3" t="s">
        <v>54</v>
      </c>
      <c r="H98" s="34">
        <f t="shared" ref="H98:H129" si="18">IF(OR(D98="Nigeria",D98="Bangladesh",D98="Pakistan",D98="North Korea",D98="Iran",D98="Syria"),1,0)</f>
        <v>0</v>
      </c>
      <c r="I98" s="34">
        <f t="shared" ref="I98:I129" si="19">IF(AND(C98&gt;=2,C98&lt;=5),1,0)</f>
        <v>0</v>
      </c>
      <c r="J98" s="34">
        <f t="shared" ref="J98:J129" si="20">IF(B98&gt;5000,1,0)</f>
        <v>1</v>
      </c>
      <c r="K98" s="34">
        <f t="shared" ref="K98:K129" si="21">IF(F98&gt;=3,1,0)</f>
        <v>1</v>
      </c>
      <c r="L98" s="35">
        <f t="shared" ref="L98:L129" si="22">IF(AND(B98&gt;5000,C98&gt;=2,C98&lt;=5,H98=1),5,0) + IF(AND(B98&gt;5000,H98=1),3,0) + IF(AND(C98&gt;=2,C98&lt;=5,B98&gt;3000),2,0) + IF(F98&gt;=5,2,0) + IF(AND(W98&lt;25,B98&gt;8000),1,0) + IF(AND(H98=1,B98&gt;3000),2,0)</f>
        <v>0</v>
      </c>
      <c r="M98" s="36" t="str">
        <f t="shared" ref="M98:M129" si="23">IF(L98&gt;=10,"CRITICAL",IF(L98&gt;=7,"HIGH",IF(L98&gt;=4,"MEDIUM","LOW")))</f>
        <v>LOW</v>
      </c>
      <c r="W98">
        <v>66</v>
      </c>
    </row>
    <row r="99" spans="1:23" x14ac:dyDescent="0.3">
      <c r="A99" s="3" t="s">
        <v>159</v>
      </c>
      <c r="B99" s="5">
        <v>6441.74</v>
      </c>
      <c r="C99" s="34">
        <v>20</v>
      </c>
      <c r="D99" s="3" t="s">
        <v>28</v>
      </c>
      <c r="E99" s="34" t="str" cm="1">
        <f t="array" ref="E99">_xlfn.IFS(AND(W99&gt;=18,W99&lt;=25),"18-25",AND(W99&gt;25,W99&lt;=35),"26-35",AND(W99&gt;35,W99&lt;=45),"36-45",AND(W99&gt;45,W99&lt;=55),"46-55",AND(W99&gt;55,W99&lt;=65),"56-65",W99&gt;65,"65+")</f>
        <v>56-65</v>
      </c>
      <c r="F99" s="34">
        <v>5</v>
      </c>
      <c r="G99" s="3" t="s">
        <v>34</v>
      </c>
      <c r="H99" s="34">
        <f t="shared" si="18"/>
        <v>0</v>
      </c>
      <c r="I99" s="34">
        <f t="shared" si="19"/>
        <v>0</v>
      </c>
      <c r="J99" s="34">
        <f t="shared" si="20"/>
        <v>1</v>
      </c>
      <c r="K99" s="34">
        <f t="shared" si="21"/>
        <v>1</v>
      </c>
      <c r="L99" s="35">
        <f t="shared" si="22"/>
        <v>2</v>
      </c>
      <c r="M99" s="36" t="str">
        <f t="shared" si="23"/>
        <v>LOW</v>
      </c>
      <c r="W99">
        <v>56</v>
      </c>
    </row>
    <row r="100" spans="1:23" x14ac:dyDescent="0.3">
      <c r="A100" s="3" t="s">
        <v>160</v>
      </c>
      <c r="B100" s="5">
        <v>430.02</v>
      </c>
      <c r="C100" s="34">
        <v>15</v>
      </c>
      <c r="D100" s="3" t="s">
        <v>129</v>
      </c>
      <c r="E100" s="34" t="str" cm="1">
        <f t="array" ref="E100">_xlfn.IFS(AND(W100&gt;=18,W100&lt;=25),"18-25",AND(W100&gt;25,W100&lt;=35),"26-35",AND(W100&gt;35,W100&lt;=45),"36-45",AND(W100&gt;45,W100&lt;=55),"46-55",AND(W100&gt;55,W100&lt;=65),"56-65",W100&gt;65,"65+")</f>
        <v>46-55</v>
      </c>
      <c r="F100" s="34">
        <v>0</v>
      </c>
      <c r="G100" s="3" t="s">
        <v>40</v>
      </c>
      <c r="H100" s="34">
        <f t="shared" si="18"/>
        <v>1</v>
      </c>
      <c r="I100" s="34">
        <f t="shared" si="19"/>
        <v>0</v>
      </c>
      <c r="J100" s="34">
        <f t="shared" si="20"/>
        <v>0</v>
      </c>
      <c r="K100" s="34">
        <f t="shared" si="21"/>
        <v>0</v>
      </c>
      <c r="L100" s="35">
        <f t="shared" si="22"/>
        <v>0</v>
      </c>
      <c r="M100" s="36" t="str">
        <f t="shared" si="23"/>
        <v>LOW</v>
      </c>
      <c r="W100">
        <v>49</v>
      </c>
    </row>
    <row r="101" spans="1:23" x14ac:dyDescent="0.3">
      <c r="A101" s="3" t="s">
        <v>161</v>
      </c>
      <c r="B101" s="5">
        <v>1662.98</v>
      </c>
      <c r="C101" s="34">
        <v>19</v>
      </c>
      <c r="D101" s="3" t="s">
        <v>28</v>
      </c>
      <c r="E101" s="34" t="str" cm="1">
        <f t="array" ref="E101">_xlfn.IFS(AND(W101&gt;=18,W101&lt;=25),"18-25",AND(W101&gt;25,W101&lt;=35),"26-35",AND(W101&gt;35,W101&lt;=45),"36-45",AND(W101&gt;45,W101&lt;=55),"46-55",AND(W101&gt;55,W101&lt;=65),"56-65",W101&gt;65,"65+")</f>
        <v>36-45</v>
      </c>
      <c r="F101" s="34">
        <v>8</v>
      </c>
      <c r="G101" s="3" t="s">
        <v>94</v>
      </c>
      <c r="H101" s="34">
        <f t="shared" si="18"/>
        <v>0</v>
      </c>
      <c r="I101" s="34">
        <f t="shared" si="19"/>
        <v>0</v>
      </c>
      <c r="J101" s="34">
        <f t="shared" si="20"/>
        <v>0</v>
      </c>
      <c r="K101" s="34">
        <f t="shared" si="21"/>
        <v>1</v>
      </c>
      <c r="L101" s="35">
        <f t="shared" si="22"/>
        <v>2</v>
      </c>
      <c r="M101" s="36" t="str">
        <f t="shared" si="23"/>
        <v>LOW</v>
      </c>
      <c r="W101">
        <v>41</v>
      </c>
    </row>
    <row r="102" spans="1:23" x14ac:dyDescent="0.3">
      <c r="A102" s="3" t="s">
        <v>162</v>
      </c>
      <c r="B102" s="5">
        <v>519.87</v>
      </c>
      <c r="C102" s="34">
        <v>23</v>
      </c>
      <c r="D102" s="3" t="s">
        <v>129</v>
      </c>
      <c r="E102" s="34" t="str" cm="1">
        <f t="array" ref="E102">_xlfn.IFS(AND(W102&gt;=18,W102&lt;=25),"18-25",AND(W102&gt;25,W102&lt;=35),"26-35",AND(W102&gt;35,W102&lt;=45),"36-45",AND(W102&gt;45,W102&lt;=55),"46-55",AND(W102&gt;55,W102&lt;=65),"56-65",W102&gt;65,"65+")</f>
        <v>36-45</v>
      </c>
      <c r="F102" s="34">
        <v>0</v>
      </c>
      <c r="G102" s="3" t="s">
        <v>86</v>
      </c>
      <c r="H102" s="34">
        <f t="shared" si="18"/>
        <v>1</v>
      </c>
      <c r="I102" s="34">
        <f t="shared" si="19"/>
        <v>0</v>
      </c>
      <c r="J102" s="34">
        <f t="shared" si="20"/>
        <v>0</v>
      </c>
      <c r="K102" s="34">
        <f t="shared" si="21"/>
        <v>0</v>
      </c>
      <c r="L102" s="35">
        <f t="shared" si="22"/>
        <v>0</v>
      </c>
      <c r="M102" s="36" t="str">
        <f t="shared" si="23"/>
        <v>LOW</v>
      </c>
      <c r="W102">
        <v>40</v>
      </c>
    </row>
    <row r="103" spans="1:23" x14ac:dyDescent="0.3">
      <c r="A103" s="3" t="s">
        <v>163</v>
      </c>
      <c r="B103" s="5">
        <v>9564.34</v>
      </c>
      <c r="C103" s="34">
        <v>7</v>
      </c>
      <c r="D103" s="3" t="s">
        <v>42</v>
      </c>
      <c r="E103" s="34" t="str" cm="1">
        <f t="array" ref="E103">_xlfn.IFS(AND(W103&gt;=18,W103&lt;=25),"18-25",AND(W103&gt;25,W103&lt;=35),"26-35",AND(W103&gt;35,W103&lt;=45),"36-45",AND(W103&gt;45,W103&lt;=55),"46-55",AND(W103&gt;55,W103&lt;=65),"56-65",W103&gt;65,"65+")</f>
        <v>65+</v>
      </c>
      <c r="F103" s="34">
        <v>4</v>
      </c>
      <c r="G103" s="3" t="s">
        <v>107</v>
      </c>
      <c r="H103" s="34">
        <f t="shared" si="18"/>
        <v>0</v>
      </c>
      <c r="I103" s="34">
        <f t="shared" si="19"/>
        <v>0</v>
      </c>
      <c r="J103" s="34">
        <f t="shared" si="20"/>
        <v>1</v>
      </c>
      <c r="K103" s="34">
        <f t="shared" si="21"/>
        <v>1</v>
      </c>
      <c r="L103" s="35">
        <f t="shared" si="22"/>
        <v>0</v>
      </c>
      <c r="M103" s="36" t="str">
        <f t="shared" si="23"/>
        <v>LOW</v>
      </c>
      <c r="W103">
        <v>79</v>
      </c>
    </row>
    <row r="104" spans="1:23" x14ac:dyDescent="0.3">
      <c r="A104" s="3" t="s">
        <v>164</v>
      </c>
      <c r="B104" s="5">
        <v>4749.62</v>
      </c>
      <c r="C104" s="34">
        <v>6</v>
      </c>
      <c r="D104" s="3" t="s">
        <v>49</v>
      </c>
      <c r="E104" s="34" t="str" cm="1">
        <f t="array" ref="E104">_xlfn.IFS(AND(W104&gt;=18,W104&lt;=25),"18-25",AND(W104&gt;25,W104&lt;=35),"26-35",AND(W104&gt;35,W104&lt;=45),"36-45",AND(W104&gt;45,W104&lt;=55),"46-55",AND(W104&gt;55,W104&lt;=65),"56-65",W104&gt;65,"65+")</f>
        <v>46-55</v>
      </c>
      <c r="F104" s="34">
        <v>3</v>
      </c>
      <c r="G104" s="3" t="s">
        <v>37</v>
      </c>
      <c r="H104" s="34">
        <f t="shared" si="18"/>
        <v>0</v>
      </c>
      <c r="I104" s="34">
        <f t="shared" si="19"/>
        <v>0</v>
      </c>
      <c r="J104" s="34">
        <f t="shared" si="20"/>
        <v>0</v>
      </c>
      <c r="K104" s="34">
        <f t="shared" si="21"/>
        <v>1</v>
      </c>
      <c r="L104" s="35">
        <f t="shared" si="22"/>
        <v>0</v>
      </c>
      <c r="M104" s="36" t="str">
        <f t="shared" si="23"/>
        <v>LOW</v>
      </c>
      <c r="W104">
        <v>49</v>
      </c>
    </row>
    <row r="105" spans="1:23" x14ac:dyDescent="0.3">
      <c r="A105" s="3" t="s">
        <v>165</v>
      </c>
      <c r="B105" s="5">
        <v>7653.13</v>
      </c>
      <c r="C105" s="34">
        <v>2</v>
      </c>
      <c r="D105" s="3" t="s">
        <v>25</v>
      </c>
      <c r="E105" s="34" t="str" cm="1">
        <f t="array" ref="E105">_xlfn.IFS(AND(W105&gt;=18,W105&lt;=25),"18-25",AND(W105&gt;25,W105&lt;=35),"26-35",AND(W105&gt;35,W105&lt;=45),"36-45",AND(W105&gt;45,W105&lt;=55),"46-55",AND(W105&gt;55,W105&lt;=65),"56-65",W105&gt;65,"65+")</f>
        <v>46-55</v>
      </c>
      <c r="F105" s="34">
        <v>2</v>
      </c>
      <c r="G105" s="3" t="s">
        <v>26</v>
      </c>
      <c r="H105" s="34">
        <f t="shared" si="18"/>
        <v>0</v>
      </c>
      <c r="I105" s="34">
        <f t="shared" si="19"/>
        <v>1</v>
      </c>
      <c r="J105" s="34">
        <f t="shared" si="20"/>
        <v>1</v>
      </c>
      <c r="K105" s="34">
        <f t="shared" si="21"/>
        <v>0</v>
      </c>
      <c r="L105" s="35">
        <f t="shared" si="22"/>
        <v>2</v>
      </c>
      <c r="M105" s="36" t="str">
        <f t="shared" si="23"/>
        <v>LOW</v>
      </c>
      <c r="W105">
        <v>54</v>
      </c>
    </row>
    <row r="106" spans="1:23" x14ac:dyDescent="0.3">
      <c r="A106" s="3" t="s">
        <v>166</v>
      </c>
      <c r="B106" s="5">
        <v>13618.12</v>
      </c>
      <c r="C106" s="34">
        <v>16</v>
      </c>
      <c r="D106" s="3" t="s">
        <v>85</v>
      </c>
      <c r="E106" s="34" t="str" cm="1">
        <f t="array" ref="E106">_xlfn.IFS(AND(W106&gt;=18,W106&lt;=25),"18-25",AND(W106&gt;25,W106&lt;=35),"26-35",AND(W106&gt;35,W106&lt;=45),"36-45",AND(W106&gt;45,W106&lt;=55),"46-55",AND(W106&gt;55,W106&lt;=65),"56-65",W106&gt;65,"65+")</f>
        <v>26-35</v>
      </c>
      <c r="F106" s="34">
        <v>5</v>
      </c>
      <c r="G106" s="3" t="s">
        <v>78</v>
      </c>
      <c r="H106" s="34">
        <f t="shared" si="18"/>
        <v>0</v>
      </c>
      <c r="I106" s="34">
        <f t="shared" si="19"/>
        <v>0</v>
      </c>
      <c r="J106" s="34">
        <f t="shared" si="20"/>
        <v>1</v>
      </c>
      <c r="K106" s="34">
        <f t="shared" si="21"/>
        <v>1</v>
      </c>
      <c r="L106" s="35">
        <f t="shared" si="22"/>
        <v>2</v>
      </c>
      <c r="M106" s="36" t="str">
        <f t="shared" si="23"/>
        <v>LOW</v>
      </c>
      <c r="W106">
        <v>29</v>
      </c>
    </row>
    <row r="107" spans="1:23" x14ac:dyDescent="0.3">
      <c r="A107" s="3" t="s">
        <v>167</v>
      </c>
      <c r="B107" s="5">
        <v>3776.92</v>
      </c>
      <c r="C107" s="34">
        <v>0</v>
      </c>
      <c r="D107" s="3" t="s">
        <v>129</v>
      </c>
      <c r="E107" s="34" t="str" cm="1">
        <f t="array" ref="E107">_xlfn.IFS(AND(W107&gt;=18,W107&lt;=25),"18-25",AND(W107&gt;25,W107&lt;=35),"26-35",AND(W107&gt;35,W107&lt;=45),"36-45",AND(W107&gt;45,W107&lt;=55),"46-55",AND(W107&gt;55,W107&lt;=65),"56-65",W107&gt;65,"65+")</f>
        <v>65+</v>
      </c>
      <c r="F107" s="34">
        <v>1</v>
      </c>
      <c r="G107" s="3" t="s">
        <v>54</v>
      </c>
      <c r="H107" s="34">
        <f t="shared" si="18"/>
        <v>1</v>
      </c>
      <c r="I107" s="34">
        <f t="shared" si="19"/>
        <v>0</v>
      </c>
      <c r="J107" s="34">
        <f t="shared" si="20"/>
        <v>0</v>
      </c>
      <c r="K107" s="34">
        <f t="shared" si="21"/>
        <v>0</v>
      </c>
      <c r="L107" s="35">
        <f t="shared" si="22"/>
        <v>2</v>
      </c>
      <c r="M107" s="36" t="str">
        <f t="shared" si="23"/>
        <v>LOW</v>
      </c>
      <c r="W107">
        <v>66</v>
      </c>
    </row>
    <row r="108" spans="1:23" x14ac:dyDescent="0.3">
      <c r="A108" s="3" t="s">
        <v>168</v>
      </c>
      <c r="B108" s="5">
        <v>6185.22</v>
      </c>
      <c r="C108" s="34">
        <v>15</v>
      </c>
      <c r="D108" s="3" t="s">
        <v>62</v>
      </c>
      <c r="E108" s="34" t="str" cm="1">
        <f t="array" ref="E108">_xlfn.IFS(AND(W108&gt;=18,W108&lt;=25),"18-25",AND(W108&gt;25,W108&lt;=35),"26-35",AND(W108&gt;35,W108&lt;=45),"36-45",AND(W108&gt;45,W108&lt;=55),"46-55",AND(W108&gt;55,W108&lt;=65),"56-65",W108&gt;65,"65+")</f>
        <v>65+</v>
      </c>
      <c r="F108" s="34">
        <v>2</v>
      </c>
      <c r="G108" s="3" t="s">
        <v>40</v>
      </c>
      <c r="H108" s="34">
        <f t="shared" si="18"/>
        <v>1</v>
      </c>
      <c r="I108" s="34">
        <f t="shared" si="19"/>
        <v>0</v>
      </c>
      <c r="J108" s="34">
        <f t="shared" si="20"/>
        <v>1</v>
      </c>
      <c r="K108" s="34">
        <f t="shared" si="21"/>
        <v>0</v>
      </c>
      <c r="L108" s="35">
        <f t="shared" si="22"/>
        <v>5</v>
      </c>
      <c r="M108" s="36" t="str">
        <f t="shared" si="23"/>
        <v>MEDIUM</v>
      </c>
      <c r="W108">
        <v>72</v>
      </c>
    </row>
    <row r="109" spans="1:23" x14ac:dyDescent="0.3">
      <c r="A109" s="3" t="s">
        <v>169</v>
      </c>
      <c r="B109" s="5">
        <v>11345.49</v>
      </c>
      <c r="C109" s="34">
        <v>11</v>
      </c>
      <c r="D109" s="3" t="s">
        <v>28</v>
      </c>
      <c r="E109" s="34" t="str" cm="1">
        <f t="array" ref="E109">_xlfn.IFS(AND(W109&gt;=18,W109&lt;=25),"18-25",AND(W109&gt;25,W109&lt;=35),"26-35",AND(W109&gt;35,W109&lt;=45),"36-45",AND(W109&gt;45,W109&lt;=55),"46-55",AND(W109&gt;55,W109&lt;=65),"56-65",W109&gt;65,"65+")</f>
        <v>26-35</v>
      </c>
      <c r="F109" s="34">
        <v>4</v>
      </c>
      <c r="G109" s="3" t="s">
        <v>50</v>
      </c>
      <c r="H109" s="34">
        <f t="shared" si="18"/>
        <v>0</v>
      </c>
      <c r="I109" s="34">
        <f t="shared" si="19"/>
        <v>0</v>
      </c>
      <c r="J109" s="34">
        <f t="shared" si="20"/>
        <v>1</v>
      </c>
      <c r="K109" s="34">
        <f t="shared" si="21"/>
        <v>1</v>
      </c>
      <c r="L109" s="35">
        <f t="shared" si="22"/>
        <v>0</v>
      </c>
      <c r="M109" s="36" t="str">
        <f t="shared" si="23"/>
        <v>LOW</v>
      </c>
      <c r="W109">
        <v>30</v>
      </c>
    </row>
    <row r="110" spans="1:23" x14ac:dyDescent="0.3">
      <c r="A110" s="3" t="s">
        <v>170</v>
      </c>
      <c r="B110" s="5">
        <v>3470.53</v>
      </c>
      <c r="C110" s="34">
        <v>18</v>
      </c>
      <c r="D110" s="3" t="s">
        <v>28</v>
      </c>
      <c r="E110" s="34" t="str" cm="1">
        <f t="array" ref="E110">_xlfn.IFS(AND(W110&gt;=18,W110&lt;=25),"18-25",AND(W110&gt;25,W110&lt;=35),"26-35",AND(W110&gt;35,W110&lt;=45),"36-45",AND(W110&gt;45,W110&lt;=55),"46-55",AND(W110&gt;55,W110&lt;=65),"56-65",W110&gt;65,"65+")</f>
        <v>36-45</v>
      </c>
      <c r="F110" s="34">
        <v>8</v>
      </c>
      <c r="G110" s="3" t="s">
        <v>98</v>
      </c>
      <c r="H110" s="34">
        <f t="shared" si="18"/>
        <v>0</v>
      </c>
      <c r="I110" s="34">
        <f t="shared" si="19"/>
        <v>0</v>
      </c>
      <c r="J110" s="34">
        <f t="shared" si="20"/>
        <v>0</v>
      </c>
      <c r="K110" s="34">
        <f t="shared" si="21"/>
        <v>1</v>
      </c>
      <c r="L110" s="35">
        <f t="shared" si="22"/>
        <v>2</v>
      </c>
      <c r="M110" s="36" t="str">
        <f t="shared" si="23"/>
        <v>LOW</v>
      </c>
      <c r="W110">
        <v>40</v>
      </c>
    </row>
    <row r="111" spans="1:23" x14ac:dyDescent="0.3">
      <c r="A111" s="3" t="s">
        <v>171</v>
      </c>
      <c r="B111" s="5">
        <v>1200.8499999999999</v>
      </c>
      <c r="C111" s="34">
        <v>21</v>
      </c>
      <c r="D111" s="3" t="s">
        <v>62</v>
      </c>
      <c r="E111" s="34" t="str" cm="1">
        <f t="array" ref="E111">_xlfn.IFS(AND(W111&gt;=18,W111&lt;=25),"18-25",AND(W111&gt;25,W111&lt;=35),"26-35",AND(W111&gt;35,W111&lt;=45),"36-45",AND(W111&gt;45,W111&lt;=55),"46-55",AND(W111&gt;55,W111&lt;=65),"56-65",W111&gt;65,"65+")</f>
        <v>36-45</v>
      </c>
      <c r="F111" s="34">
        <v>1</v>
      </c>
      <c r="G111" s="3" t="s">
        <v>92</v>
      </c>
      <c r="H111" s="34">
        <f t="shared" si="18"/>
        <v>1</v>
      </c>
      <c r="I111" s="34">
        <f t="shared" si="19"/>
        <v>0</v>
      </c>
      <c r="J111" s="34">
        <f t="shared" si="20"/>
        <v>0</v>
      </c>
      <c r="K111" s="34">
        <f t="shared" si="21"/>
        <v>0</v>
      </c>
      <c r="L111" s="35">
        <f t="shared" si="22"/>
        <v>0</v>
      </c>
      <c r="M111" s="36" t="str">
        <f t="shared" si="23"/>
        <v>LOW</v>
      </c>
      <c r="W111">
        <v>42</v>
      </c>
    </row>
    <row r="112" spans="1:23" x14ac:dyDescent="0.3">
      <c r="A112" s="3" t="s">
        <v>172</v>
      </c>
      <c r="B112" s="5">
        <v>4381.78</v>
      </c>
      <c r="C112" s="34">
        <v>22</v>
      </c>
      <c r="D112" s="3" t="s">
        <v>46</v>
      </c>
      <c r="E112" s="34" t="str" cm="1">
        <f t="array" ref="E112">_xlfn.IFS(AND(W112&gt;=18,W112&lt;=25),"18-25",AND(W112&gt;25,W112&lt;=35),"26-35",AND(W112&gt;35,W112&lt;=45),"36-45",AND(W112&gt;45,W112&lt;=55),"46-55",AND(W112&gt;55,W112&lt;=65),"56-65",W112&gt;65,"65+")</f>
        <v>46-55</v>
      </c>
      <c r="F112" s="34">
        <v>9</v>
      </c>
      <c r="G112" s="3" t="s">
        <v>92</v>
      </c>
      <c r="H112" s="34">
        <f t="shared" si="18"/>
        <v>1</v>
      </c>
      <c r="I112" s="34">
        <f t="shared" si="19"/>
        <v>0</v>
      </c>
      <c r="J112" s="34">
        <f t="shared" si="20"/>
        <v>0</v>
      </c>
      <c r="K112" s="34">
        <f t="shared" si="21"/>
        <v>1</v>
      </c>
      <c r="L112" s="35">
        <f t="shared" si="22"/>
        <v>4</v>
      </c>
      <c r="M112" s="36" t="str">
        <f t="shared" si="23"/>
        <v>MEDIUM</v>
      </c>
      <c r="W112">
        <v>52</v>
      </c>
    </row>
    <row r="113" spans="1:23" x14ac:dyDescent="0.3">
      <c r="A113" s="3" t="s">
        <v>173</v>
      </c>
      <c r="B113" s="5">
        <v>2460.2600000000002</v>
      </c>
      <c r="C113" s="34">
        <v>21</v>
      </c>
      <c r="D113" s="3" t="s">
        <v>42</v>
      </c>
      <c r="E113" s="34" t="str" cm="1">
        <f t="array" ref="E113">_xlfn.IFS(AND(W113&gt;=18,W113&lt;=25),"18-25",AND(W113&gt;25,W113&lt;=35),"26-35",AND(W113&gt;35,W113&lt;=45),"36-45",AND(W113&gt;45,W113&lt;=55),"46-55",AND(W113&gt;55,W113&lt;=65),"56-65",W113&gt;65,"65+")</f>
        <v>56-65</v>
      </c>
      <c r="F113" s="34">
        <v>7</v>
      </c>
      <c r="G113" s="3" t="s">
        <v>63</v>
      </c>
      <c r="H113" s="34">
        <f t="shared" si="18"/>
        <v>0</v>
      </c>
      <c r="I113" s="34">
        <f t="shared" si="19"/>
        <v>0</v>
      </c>
      <c r="J113" s="34">
        <f t="shared" si="20"/>
        <v>0</v>
      </c>
      <c r="K113" s="34">
        <f t="shared" si="21"/>
        <v>1</v>
      </c>
      <c r="L113" s="35">
        <f t="shared" si="22"/>
        <v>2</v>
      </c>
      <c r="M113" s="36" t="str">
        <f t="shared" si="23"/>
        <v>LOW</v>
      </c>
      <c r="W113">
        <v>58</v>
      </c>
    </row>
    <row r="114" spans="1:23" x14ac:dyDescent="0.3">
      <c r="A114" s="3" t="s">
        <v>174</v>
      </c>
      <c r="B114" s="5">
        <v>13948.98</v>
      </c>
      <c r="C114" s="34">
        <v>13</v>
      </c>
      <c r="D114" s="3" t="s">
        <v>31</v>
      </c>
      <c r="E114" s="34" t="str" cm="1">
        <f t="array" ref="E114">_xlfn.IFS(AND(W114&gt;=18,W114&lt;=25),"18-25",AND(W114&gt;25,W114&lt;=35),"26-35",AND(W114&gt;35,W114&lt;=45),"36-45",AND(W114&gt;45,W114&lt;=55),"46-55",AND(W114&gt;55,W114&lt;=65),"56-65",W114&gt;65,"65+")</f>
        <v>46-55</v>
      </c>
      <c r="F114" s="34">
        <v>1</v>
      </c>
      <c r="G114" s="3" t="s">
        <v>40</v>
      </c>
      <c r="H114" s="34">
        <f t="shared" si="18"/>
        <v>1</v>
      </c>
      <c r="I114" s="34">
        <f t="shared" si="19"/>
        <v>0</v>
      </c>
      <c r="J114" s="34">
        <f t="shared" si="20"/>
        <v>1</v>
      </c>
      <c r="K114" s="34">
        <f t="shared" si="21"/>
        <v>0</v>
      </c>
      <c r="L114" s="35">
        <f t="shared" si="22"/>
        <v>5</v>
      </c>
      <c r="M114" s="36" t="str">
        <f t="shared" si="23"/>
        <v>MEDIUM</v>
      </c>
      <c r="W114">
        <v>47</v>
      </c>
    </row>
    <row r="115" spans="1:23" x14ac:dyDescent="0.3">
      <c r="A115" s="3" t="s">
        <v>175</v>
      </c>
      <c r="B115" s="5">
        <v>12131.4</v>
      </c>
      <c r="C115" s="34">
        <v>5</v>
      </c>
      <c r="D115" s="3" t="s">
        <v>25</v>
      </c>
      <c r="E115" s="34" t="str" cm="1">
        <f t="array" ref="E115">_xlfn.IFS(AND(W115&gt;=18,W115&lt;=25),"18-25",AND(W115&gt;25,W115&lt;=35),"26-35",AND(W115&gt;35,W115&lt;=45),"36-45",AND(W115&gt;45,W115&lt;=55),"46-55",AND(W115&gt;55,W115&lt;=65),"56-65",W115&gt;65,"65+")</f>
        <v>26-35</v>
      </c>
      <c r="F115" s="34">
        <v>4</v>
      </c>
      <c r="G115" s="3" t="s">
        <v>63</v>
      </c>
      <c r="H115" s="34">
        <f t="shared" si="18"/>
        <v>0</v>
      </c>
      <c r="I115" s="34">
        <f t="shared" si="19"/>
        <v>1</v>
      </c>
      <c r="J115" s="34">
        <f t="shared" si="20"/>
        <v>1</v>
      </c>
      <c r="K115" s="34">
        <f t="shared" si="21"/>
        <v>1</v>
      </c>
      <c r="L115" s="35">
        <f t="shared" si="22"/>
        <v>2</v>
      </c>
      <c r="M115" s="36" t="str">
        <f t="shared" si="23"/>
        <v>LOW</v>
      </c>
      <c r="W115">
        <v>34</v>
      </c>
    </row>
    <row r="116" spans="1:23" x14ac:dyDescent="0.3">
      <c r="A116" s="3" t="s">
        <v>176</v>
      </c>
      <c r="B116" s="5">
        <v>9519.39</v>
      </c>
      <c r="C116" s="34">
        <v>5</v>
      </c>
      <c r="D116" s="3" t="s">
        <v>39</v>
      </c>
      <c r="E116" s="34" t="str" cm="1">
        <f t="array" ref="E116">_xlfn.IFS(AND(W116&gt;=18,W116&lt;=25),"18-25",AND(W116&gt;25,W116&lt;=35),"26-35",AND(W116&gt;35,W116&lt;=45),"36-45",AND(W116&gt;45,W116&lt;=55),"46-55",AND(W116&gt;55,W116&lt;=65),"56-65",W116&gt;65,"65+")</f>
        <v>65+</v>
      </c>
      <c r="F116" s="34">
        <v>6</v>
      </c>
      <c r="G116" s="3" t="s">
        <v>98</v>
      </c>
      <c r="H116" s="34">
        <f t="shared" si="18"/>
        <v>0</v>
      </c>
      <c r="I116" s="34">
        <f t="shared" si="19"/>
        <v>1</v>
      </c>
      <c r="J116" s="34">
        <f t="shared" si="20"/>
        <v>1</v>
      </c>
      <c r="K116" s="34">
        <f t="shared" si="21"/>
        <v>1</v>
      </c>
      <c r="L116" s="35">
        <f t="shared" si="22"/>
        <v>4</v>
      </c>
      <c r="M116" s="36" t="str">
        <f t="shared" si="23"/>
        <v>MEDIUM</v>
      </c>
      <c r="W116">
        <v>66</v>
      </c>
    </row>
    <row r="117" spans="1:23" x14ac:dyDescent="0.3">
      <c r="A117" s="3" t="s">
        <v>177</v>
      </c>
      <c r="B117" s="5">
        <v>13078.34</v>
      </c>
      <c r="C117" s="34">
        <v>12</v>
      </c>
      <c r="D117" s="3" t="s">
        <v>74</v>
      </c>
      <c r="E117" s="34" t="str" cm="1">
        <f t="array" ref="E117">_xlfn.IFS(AND(W117&gt;=18,W117&lt;=25),"18-25",AND(W117&gt;25,W117&lt;=35),"26-35",AND(W117&gt;35,W117&lt;=45),"36-45",AND(W117&gt;45,W117&lt;=55),"46-55",AND(W117&gt;55,W117&lt;=65),"56-65",W117&gt;65,"65+")</f>
        <v>65+</v>
      </c>
      <c r="F117" s="34">
        <v>7</v>
      </c>
      <c r="G117" s="3" t="s">
        <v>107</v>
      </c>
      <c r="H117" s="34">
        <f t="shared" si="18"/>
        <v>0</v>
      </c>
      <c r="I117" s="34">
        <f t="shared" si="19"/>
        <v>0</v>
      </c>
      <c r="J117" s="34">
        <f t="shared" si="20"/>
        <v>1</v>
      </c>
      <c r="K117" s="34">
        <f t="shared" si="21"/>
        <v>1</v>
      </c>
      <c r="L117" s="35">
        <f t="shared" si="22"/>
        <v>2</v>
      </c>
      <c r="M117" s="36" t="str">
        <f t="shared" si="23"/>
        <v>LOW</v>
      </c>
      <c r="W117">
        <v>79</v>
      </c>
    </row>
    <row r="118" spans="1:23" x14ac:dyDescent="0.3">
      <c r="A118" s="3" t="s">
        <v>178</v>
      </c>
      <c r="B118" s="5">
        <v>12064.9</v>
      </c>
      <c r="C118" s="34">
        <v>18</v>
      </c>
      <c r="D118" s="3" t="s">
        <v>129</v>
      </c>
      <c r="E118" s="34" t="str" cm="1">
        <f t="array" ref="E118">_xlfn.IFS(AND(W118&gt;=18,W118&lt;=25),"18-25",AND(W118&gt;25,W118&lt;=35),"26-35",AND(W118&gt;35,W118&lt;=45),"36-45",AND(W118&gt;45,W118&lt;=55),"46-55",AND(W118&gt;55,W118&lt;=65),"56-65",W118&gt;65,"65+")</f>
        <v>36-45</v>
      </c>
      <c r="F118" s="34">
        <v>0</v>
      </c>
      <c r="G118" s="3" t="s">
        <v>37</v>
      </c>
      <c r="H118" s="34">
        <f t="shared" si="18"/>
        <v>1</v>
      </c>
      <c r="I118" s="34">
        <f t="shared" si="19"/>
        <v>0</v>
      </c>
      <c r="J118" s="34">
        <f t="shared" si="20"/>
        <v>1</v>
      </c>
      <c r="K118" s="34">
        <f t="shared" si="21"/>
        <v>0</v>
      </c>
      <c r="L118" s="35">
        <f t="shared" si="22"/>
        <v>5</v>
      </c>
      <c r="M118" s="36" t="str">
        <f t="shared" si="23"/>
        <v>MEDIUM</v>
      </c>
      <c r="W118">
        <v>37</v>
      </c>
    </row>
    <row r="119" spans="1:23" x14ac:dyDescent="0.3">
      <c r="A119" s="3" t="s">
        <v>179</v>
      </c>
      <c r="B119" s="5">
        <v>2839.22</v>
      </c>
      <c r="C119" s="34">
        <v>21</v>
      </c>
      <c r="D119" s="3" t="s">
        <v>62</v>
      </c>
      <c r="E119" s="34" t="str" cm="1">
        <f t="array" ref="E119">_xlfn.IFS(AND(W119&gt;=18,W119&lt;=25),"18-25",AND(W119&gt;25,W119&lt;=35),"26-35",AND(W119&gt;35,W119&lt;=45),"36-45",AND(W119&gt;45,W119&lt;=55),"46-55",AND(W119&gt;55,W119&lt;=65),"56-65",W119&gt;65,"65+")</f>
        <v>56-65</v>
      </c>
      <c r="F119" s="34">
        <v>5</v>
      </c>
      <c r="G119" s="3" t="s">
        <v>56</v>
      </c>
      <c r="H119" s="34">
        <f t="shared" si="18"/>
        <v>1</v>
      </c>
      <c r="I119" s="34">
        <f t="shared" si="19"/>
        <v>0</v>
      </c>
      <c r="J119" s="34">
        <f t="shared" si="20"/>
        <v>0</v>
      </c>
      <c r="K119" s="34">
        <f t="shared" si="21"/>
        <v>1</v>
      </c>
      <c r="L119" s="35">
        <f t="shared" si="22"/>
        <v>2</v>
      </c>
      <c r="M119" s="36" t="str">
        <f t="shared" si="23"/>
        <v>LOW</v>
      </c>
      <c r="W119">
        <v>65</v>
      </c>
    </row>
    <row r="120" spans="1:23" x14ac:dyDescent="0.3">
      <c r="A120" s="3" t="s">
        <v>180</v>
      </c>
      <c r="B120" s="5">
        <v>13393.76</v>
      </c>
      <c r="C120" s="34">
        <v>7</v>
      </c>
      <c r="D120" s="3" t="s">
        <v>74</v>
      </c>
      <c r="E120" s="34" t="str" cm="1">
        <f t="array" ref="E120">_xlfn.IFS(AND(W120&gt;=18,W120&lt;=25),"18-25",AND(W120&gt;25,W120&lt;=35),"26-35",AND(W120&gt;35,W120&lt;=45),"36-45",AND(W120&gt;45,W120&lt;=55),"46-55",AND(W120&gt;55,W120&lt;=65),"56-65",W120&gt;65,"65+")</f>
        <v>36-45</v>
      </c>
      <c r="F120" s="34">
        <v>0</v>
      </c>
      <c r="G120" s="3" t="s">
        <v>67</v>
      </c>
      <c r="H120" s="34">
        <f t="shared" si="18"/>
        <v>0</v>
      </c>
      <c r="I120" s="34">
        <f t="shared" si="19"/>
        <v>0</v>
      </c>
      <c r="J120" s="34">
        <f t="shared" si="20"/>
        <v>1</v>
      </c>
      <c r="K120" s="34">
        <f t="shared" si="21"/>
        <v>0</v>
      </c>
      <c r="L120" s="35">
        <f t="shared" si="22"/>
        <v>0</v>
      </c>
      <c r="M120" s="36" t="str">
        <f t="shared" si="23"/>
        <v>LOW</v>
      </c>
      <c r="W120">
        <v>42</v>
      </c>
    </row>
    <row r="121" spans="1:23" x14ac:dyDescent="0.3">
      <c r="A121" s="3" t="s">
        <v>181</v>
      </c>
      <c r="B121" s="5">
        <v>8113.17</v>
      </c>
      <c r="C121" s="34">
        <v>1</v>
      </c>
      <c r="D121" s="3" t="s">
        <v>49</v>
      </c>
      <c r="E121" s="34" t="str" cm="1">
        <f t="array" ref="E121">_xlfn.IFS(AND(W121&gt;=18,W121&lt;=25),"18-25",AND(W121&gt;25,W121&lt;=35),"26-35",AND(W121&gt;35,W121&lt;=45),"36-45",AND(W121&gt;45,W121&lt;=55),"46-55",AND(W121&gt;55,W121&lt;=65),"56-65",W121&gt;65,"65+")</f>
        <v>36-45</v>
      </c>
      <c r="F121" s="34">
        <v>1</v>
      </c>
      <c r="G121" s="3" t="s">
        <v>58</v>
      </c>
      <c r="H121" s="34">
        <f t="shared" si="18"/>
        <v>0</v>
      </c>
      <c r="I121" s="34">
        <f t="shared" si="19"/>
        <v>0</v>
      </c>
      <c r="J121" s="34">
        <f t="shared" si="20"/>
        <v>1</v>
      </c>
      <c r="K121" s="34">
        <f t="shared" si="21"/>
        <v>0</v>
      </c>
      <c r="L121" s="35">
        <f t="shared" si="22"/>
        <v>0</v>
      </c>
      <c r="M121" s="36" t="str">
        <f t="shared" si="23"/>
        <v>LOW</v>
      </c>
      <c r="W121">
        <v>39</v>
      </c>
    </row>
    <row r="122" spans="1:23" x14ac:dyDescent="0.3">
      <c r="A122" s="3" t="s">
        <v>182</v>
      </c>
      <c r="B122" s="5">
        <v>12121.23</v>
      </c>
      <c r="C122" s="34">
        <v>20</v>
      </c>
      <c r="D122" s="3" t="s">
        <v>129</v>
      </c>
      <c r="E122" s="34" t="str" cm="1">
        <f t="array" ref="E122">_xlfn.IFS(AND(W122&gt;=18,W122&lt;=25),"18-25",AND(W122&gt;25,W122&lt;=35),"26-35",AND(W122&gt;35,W122&lt;=45),"36-45",AND(W122&gt;45,W122&lt;=55),"46-55",AND(W122&gt;55,W122&lt;=65),"56-65",W122&gt;65,"65+")</f>
        <v>26-35</v>
      </c>
      <c r="F122" s="34">
        <v>0</v>
      </c>
      <c r="G122" s="3" t="s">
        <v>78</v>
      </c>
      <c r="H122" s="34">
        <f t="shared" si="18"/>
        <v>1</v>
      </c>
      <c r="I122" s="34">
        <f t="shared" si="19"/>
        <v>0</v>
      </c>
      <c r="J122" s="34">
        <f t="shared" si="20"/>
        <v>1</v>
      </c>
      <c r="K122" s="34">
        <f t="shared" si="21"/>
        <v>0</v>
      </c>
      <c r="L122" s="35">
        <f t="shared" si="22"/>
        <v>5</v>
      </c>
      <c r="M122" s="36" t="str">
        <f t="shared" si="23"/>
        <v>MEDIUM</v>
      </c>
      <c r="W122">
        <v>30</v>
      </c>
    </row>
    <row r="123" spans="1:23" x14ac:dyDescent="0.3">
      <c r="A123" s="3" t="s">
        <v>183</v>
      </c>
      <c r="B123" s="5">
        <v>13446.56</v>
      </c>
      <c r="C123" s="34">
        <v>0</v>
      </c>
      <c r="D123" s="3" t="s">
        <v>31</v>
      </c>
      <c r="E123" s="34" t="str" cm="1">
        <f t="array" ref="E123">_xlfn.IFS(AND(W123&gt;=18,W123&lt;=25),"18-25",AND(W123&gt;25,W123&lt;=35),"26-35",AND(W123&gt;35,W123&lt;=45),"36-45",AND(W123&gt;45,W123&lt;=55),"46-55",AND(W123&gt;55,W123&lt;=65),"56-65",W123&gt;65,"65+")</f>
        <v>65+</v>
      </c>
      <c r="F123" s="34">
        <v>4</v>
      </c>
      <c r="G123" s="3" t="s">
        <v>98</v>
      </c>
      <c r="H123" s="34">
        <f t="shared" si="18"/>
        <v>1</v>
      </c>
      <c r="I123" s="34">
        <f t="shared" si="19"/>
        <v>0</v>
      </c>
      <c r="J123" s="34">
        <f t="shared" si="20"/>
        <v>1</v>
      </c>
      <c r="K123" s="34">
        <f t="shared" si="21"/>
        <v>1</v>
      </c>
      <c r="L123" s="35">
        <f t="shared" si="22"/>
        <v>5</v>
      </c>
      <c r="M123" s="36" t="str">
        <f t="shared" si="23"/>
        <v>MEDIUM</v>
      </c>
      <c r="W123">
        <v>76</v>
      </c>
    </row>
    <row r="124" spans="1:23" x14ac:dyDescent="0.3">
      <c r="A124" s="3" t="s">
        <v>184</v>
      </c>
      <c r="B124" s="5">
        <v>4804.1499999999996</v>
      </c>
      <c r="C124" s="34">
        <v>14</v>
      </c>
      <c r="D124" s="3" t="s">
        <v>74</v>
      </c>
      <c r="E124" s="34" t="str" cm="1">
        <f t="array" ref="E124">_xlfn.IFS(AND(W124&gt;=18,W124&lt;=25),"18-25",AND(W124&gt;25,W124&lt;=35),"26-35",AND(W124&gt;35,W124&lt;=45),"36-45",AND(W124&gt;45,W124&lt;=55),"46-55",AND(W124&gt;55,W124&lt;=65),"56-65",W124&gt;65,"65+")</f>
        <v>36-45</v>
      </c>
      <c r="F124" s="34">
        <v>9</v>
      </c>
      <c r="G124" s="3" t="s">
        <v>67</v>
      </c>
      <c r="H124" s="34">
        <f t="shared" si="18"/>
        <v>0</v>
      </c>
      <c r="I124" s="34">
        <f t="shared" si="19"/>
        <v>0</v>
      </c>
      <c r="J124" s="34">
        <f t="shared" si="20"/>
        <v>0</v>
      </c>
      <c r="K124" s="34">
        <f t="shared" si="21"/>
        <v>1</v>
      </c>
      <c r="L124" s="35">
        <f t="shared" si="22"/>
        <v>2</v>
      </c>
      <c r="M124" s="36" t="str">
        <f t="shared" si="23"/>
        <v>LOW</v>
      </c>
      <c r="W124">
        <v>36</v>
      </c>
    </row>
    <row r="125" spans="1:23" x14ac:dyDescent="0.3">
      <c r="A125" s="3" t="s">
        <v>185</v>
      </c>
      <c r="B125" s="5">
        <v>1695.28</v>
      </c>
      <c r="C125" s="34">
        <v>0</v>
      </c>
      <c r="D125" s="3" t="s">
        <v>49</v>
      </c>
      <c r="E125" s="34" t="str" cm="1">
        <f t="array" ref="E125">_xlfn.IFS(AND(W125&gt;=18,W125&lt;=25),"18-25",AND(W125&gt;25,W125&lt;=35),"26-35",AND(W125&gt;35,W125&lt;=45),"36-45",AND(W125&gt;45,W125&lt;=55),"46-55",AND(W125&gt;55,W125&lt;=65),"56-65",W125&gt;65,"65+")</f>
        <v>65+</v>
      </c>
      <c r="F125" s="34">
        <v>8</v>
      </c>
      <c r="G125" s="3" t="s">
        <v>26</v>
      </c>
      <c r="H125" s="34">
        <f t="shared" si="18"/>
        <v>0</v>
      </c>
      <c r="I125" s="34">
        <f t="shared" si="19"/>
        <v>0</v>
      </c>
      <c r="J125" s="34">
        <f t="shared" si="20"/>
        <v>0</v>
      </c>
      <c r="K125" s="34">
        <f t="shared" si="21"/>
        <v>1</v>
      </c>
      <c r="L125" s="35">
        <f t="shared" si="22"/>
        <v>2</v>
      </c>
      <c r="M125" s="36" t="str">
        <f t="shared" si="23"/>
        <v>LOW</v>
      </c>
      <c r="W125">
        <v>66</v>
      </c>
    </row>
    <row r="126" spans="1:23" x14ac:dyDescent="0.3">
      <c r="A126" s="3" t="s">
        <v>186</v>
      </c>
      <c r="B126" s="5">
        <v>3457.63</v>
      </c>
      <c r="C126" s="34">
        <v>4</v>
      </c>
      <c r="D126" s="3" t="s">
        <v>36</v>
      </c>
      <c r="E126" s="34" t="str" cm="1">
        <f t="array" ref="E126">_xlfn.IFS(AND(W126&gt;=18,W126&lt;=25),"18-25",AND(W126&gt;25,W126&lt;=35),"26-35",AND(W126&gt;35,W126&lt;=45),"36-45",AND(W126&gt;45,W126&lt;=55),"46-55",AND(W126&gt;55,W126&lt;=65),"56-65",W126&gt;65,"65+")</f>
        <v>46-55</v>
      </c>
      <c r="F126" s="34">
        <v>5</v>
      </c>
      <c r="G126" s="3" t="s">
        <v>187</v>
      </c>
      <c r="H126" s="34">
        <f t="shared" si="18"/>
        <v>1</v>
      </c>
      <c r="I126" s="34">
        <f t="shared" si="19"/>
        <v>1</v>
      </c>
      <c r="J126" s="34">
        <f t="shared" si="20"/>
        <v>0</v>
      </c>
      <c r="K126" s="34">
        <f t="shared" si="21"/>
        <v>1</v>
      </c>
      <c r="L126" s="35">
        <f t="shared" si="22"/>
        <v>6</v>
      </c>
      <c r="M126" s="36" t="str">
        <f t="shared" si="23"/>
        <v>MEDIUM</v>
      </c>
      <c r="W126">
        <v>53</v>
      </c>
    </row>
    <row r="127" spans="1:23" x14ac:dyDescent="0.3">
      <c r="A127" s="3" t="s">
        <v>188</v>
      </c>
      <c r="B127" s="5">
        <v>6435.26</v>
      </c>
      <c r="C127" s="34">
        <v>15</v>
      </c>
      <c r="D127" s="3" t="s">
        <v>85</v>
      </c>
      <c r="E127" s="34" t="str" cm="1">
        <f t="array" ref="E127">_xlfn.IFS(AND(W127&gt;=18,W127&lt;=25),"18-25",AND(W127&gt;25,W127&lt;=35),"26-35",AND(W127&gt;35,W127&lt;=45),"36-45",AND(W127&gt;45,W127&lt;=55),"46-55",AND(W127&gt;55,W127&lt;=65),"56-65",W127&gt;65,"65+")</f>
        <v>26-35</v>
      </c>
      <c r="F127" s="34">
        <v>0</v>
      </c>
      <c r="G127" s="3" t="s">
        <v>107</v>
      </c>
      <c r="H127" s="34">
        <f t="shared" si="18"/>
        <v>0</v>
      </c>
      <c r="I127" s="34">
        <f t="shared" si="19"/>
        <v>0</v>
      </c>
      <c r="J127" s="34">
        <f t="shared" si="20"/>
        <v>1</v>
      </c>
      <c r="K127" s="34">
        <f t="shared" si="21"/>
        <v>0</v>
      </c>
      <c r="L127" s="35">
        <f t="shared" si="22"/>
        <v>0</v>
      </c>
      <c r="M127" s="36" t="str">
        <f t="shared" si="23"/>
        <v>LOW</v>
      </c>
      <c r="W127">
        <v>29</v>
      </c>
    </row>
    <row r="128" spans="1:23" x14ac:dyDescent="0.3">
      <c r="A128" s="3" t="s">
        <v>189</v>
      </c>
      <c r="B128" s="5">
        <v>12279.32</v>
      </c>
      <c r="C128" s="34">
        <v>18</v>
      </c>
      <c r="D128" s="3" t="s">
        <v>28</v>
      </c>
      <c r="E128" s="34" t="str" cm="1">
        <f t="array" ref="E128">_xlfn.IFS(AND(W128&gt;=18,W128&lt;=25),"18-25",AND(W128&gt;25,W128&lt;=35),"26-35",AND(W128&gt;35,W128&lt;=45),"36-45",AND(W128&gt;45,W128&lt;=55),"46-55",AND(W128&gt;55,W128&lt;=65),"56-65",W128&gt;65,"65+")</f>
        <v>65+</v>
      </c>
      <c r="F128" s="34">
        <v>0</v>
      </c>
      <c r="G128" s="3" t="s">
        <v>26</v>
      </c>
      <c r="H128" s="34">
        <f t="shared" si="18"/>
        <v>0</v>
      </c>
      <c r="I128" s="34">
        <f t="shared" si="19"/>
        <v>0</v>
      </c>
      <c r="J128" s="34">
        <f t="shared" si="20"/>
        <v>1</v>
      </c>
      <c r="K128" s="34">
        <f t="shared" si="21"/>
        <v>0</v>
      </c>
      <c r="L128" s="35">
        <f t="shared" si="22"/>
        <v>0</v>
      </c>
      <c r="M128" s="36" t="str">
        <f t="shared" si="23"/>
        <v>LOW</v>
      </c>
      <c r="O128">
        <f>COUNTIF(M:M,"Critical")</f>
        <v>7</v>
      </c>
      <c r="W128">
        <v>78</v>
      </c>
    </row>
    <row r="129" spans="1:23" x14ac:dyDescent="0.3">
      <c r="A129" s="3" t="s">
        <v>190</v>
      </c>
      <c r="B129" s="5">
        <v>12917.92</v>
      </c>
      <c r="C129" s="34">
        <v>3</v>
      </c>
      <c r="D129" s="3" t="s">
        <v>36</v>
      </c>
      <c r="E129" s="34" t="str" cm="1">
        <f t="array" ref="E129">_xlfn.IFS(AND(W129&gt;=18,W129&lt;=25),"18-25",AND(W129&gt;25,W129&lt;=35),"26-35",AND(W129&gt;35,W129&lt;=45),"36-45",AND(W129&gt;45,W129&lt;=55),"46-55",AND(W129&gt;55,W129&lt;=65),"56-65",W129&gt;65,"65+")</f>
        <v>56-65</v>
      </c>
      <c r="F129" s="34">
        <v>1</v>
      </c>
      <c r="G129" s="3" t="s">
        <v>86</v>
      </c>
      <c r="H129" s="34">
        <f t="shared" si="18"/>
        <v>1</v>
      </c>
      <c r="I129" s="34">
        <f t="shared" si="19"/>
        <v>1</v>
      </c>
      <c r="J129" s="34">
        <f t="shared" si="20"/>
        <v>1</v>
      </c>
      <c r="K129" s="34">
        <f t="shared" si="21"/>
        <v>0</v>
      </c>
      <c r="L129" s="35">
        <f t="shared" si="22"/>
        <v>12</v>
      </c>
      <c r="M129" s="36" t="str">
        <f t="shared" si="23"/>
        <v>CRITICAL</v>
      </c>
      <c r="W129">
        <v>58</v>
      </c>
    </row>
    <row r="130" spans="1:23" x14ac:dyDescent="0.3">
      <c r="A130" s="3" t="s">
        <v>191</v>
      </c>
      <c r="B130" s="5">
        <v>153.93</v>
      </c>
      <c r="C130" s="34">
        <v>2</v>
      </c>
      <c r="D130" s="3" t="s">
        <v>129</v>
      </c>
      <c r="E130" s="34" t="str" cm="1">
        <f t="array" ref="E130">_xlfn.IFS(AND(W130&gt;=18,W130&lt;=25),"18-25",AND(W130&gt;25,W130&lt;=35),"26-35",AND(W130&gt;35,W130&lt;=45),"36-45",AND(W130&gt;45,W130&lt;=55),"46-55",AND(W130&gt;55,W130&lt;=65),"56-65",W130&gt;65,"65+")</f>
        <v>36-45</v>
      </c>
      <c r="F130" s="34">
        <v>8</v>
      </c>
      <c r="G130" s="3" t="s">
        <v>44</v>
      </c>
      <c r="H130" s="34">
        <f t="shared" ref="H130:H151" si="24">IF(OR(D130="Nigeria",D130="Bangladesh",D130="Pakistan",D130="North Korea",D130="Iran",D130="Syria"),1,0)</f>
        <v>1</v>
      </c>
      <c r="I130" s="34">
        <f t="shared" ref="I130:I151" si="25">IF(AND(C130&gt;=2,C130&lt;=5),1,0)</f>
        <v>1</v>
      </c>
      <c r="J130" s="34">
        <f t="shared" ref="J130:J151" si="26">IF(B130&gt;5000,1,0)</f>
        <v>0</v>
      </c>
      <c r="K130" s="34">
        <f t="shared" ref="K130:K151" si="27">IF(F130&gt;=3,1,0)</f>
        <v>1</v>
      </c>
      <c r="L130" s="35">
        <f t="shared" ref="L130:L151" si="28">IF(AND(B130&gt;5000,C130&gt;=2,C130&lt;=5,H130=1),5,0) + IF(AND(B130&gt;5000,H130=1),3,0) + IF(AND(C130&gt;=2,C130&lt;=5,B130&gt;3000),2,0) + IF(F130&gt;=5,2,0) + IF(AND(W130&lt;25,B130&gt;8000),1,0) + IF(AND(H130=1,B130&gt;3000),2,0)</f>
        <v>2</v>
      </c>
      <c r="M130" s="36" t="str">
        <f t="shared" ref="M130:M151" si="29">IF(L130&gt;=10,"CRITICAL",IF(L130&gt;=7,"HIGH",IF(L130&gt;=4,"MEDIUM","LOW")))</f>
        <v>LOW</v>
      </c>
      <c r="W130">
        <v>36</v>
      </c>
    </row>
    <row r="131" spans="1:23" x14ac:dyDescent="0.3">
      <c r="A131" s="3" t="s">
        <v>192</v>
      </c>
      <c r="B131" s="5">
        <v>7685.67</v>
      </c>
      <c r="C131" s="34">
        <v>16</v>
      </c>
      <c r="D131" s="3" t="s">
        <v>31</v>
      </c>
      <c r="E131" s="34" t="str" cm="1">
        <f t="array" ref="E131">_xlfn.IFS(AND(W131&gt;=18,W131&lt;=25),"18-25",AND(W131&gt;25,W131&lt;=35),"26-35",AND(W131&gt;35,W131&lt;=45),"36-45",AND(W131&gt;45,W131&lt;=55),"46-55",AND(W131&gt;55,W131&lt;=65),"56-65",W131&gt;65,"65+")</f>
        <v>26-35</v>
      </c>
      <c r="F131" s="34">
        <v>2</v>
      </c>
      <c r="G131" s="3" t="s">
        <v>37</v>
      </c>
      <c r="H131" s="34">
        <f t="shared" si="24"/>
        <v>1</v>
      </c>
      <c r="I131" s="34">
        <f t="shared" si="25"/>
        <v>0</v>
      </c>
      <c r="J131" s="34">
        <f t="shared" si="26"/>
        <v>1</v>
      </c>
      <c r="K131" s="34">
        <f t="shared" si="27"/>
        <v>0</v>
      </c>
      <c r="L131" s="35">
        <f t="shared" si="28"/>
        <v>5</v>
      </c>
      <c r="M131" s="36" t="str">
        <f t="shared" si="29"/>
        <v>MEDIUM</v>
      </c>
      <c r="W131">
        <v>29</v>
      </c>
    </row>
    <row r="132" spans="1:23" x14ac:dyDescent="0.3">
      <c r="A132" s="3" t="s">
        <v>193</v>
      </c>
      <c r="B132" s="5">
        <v>6290.29</v>
      </c>
      <c r="C132" s="34">
        <v>16</v>
      </c>
      <c r="D132" s="3" t="s">
        <v>25</v>
      </c>
      <c r="E132" s="34" t="str" cm="1">
        <f t="array" ref="E132">_xlfn.IFS(AND(W132&gt;=18,W132&lt;=25),"18-25",AND(W132&gt;25,W132&lt;=35),"26-35",AND(W132&gt;35,W132&lt;=45),"36-45",AND(W132&gt;45,W132&lt;=55),"46-55",AND(W132&gt;55,W132&lt;=65),"56-65",W132&gt;65,"65+")</f>
        <v>26-35</v>
      </c>
      <c r="F132" s="34">
        <v>0</v>
      </c>
      <c r="G132" s="3" t="s">
        <v>44</v>
      </c>
      <c r="H132" s="34">
        <f t="shared" si="24"/>
        <v>0</v>
      </c>
      <c r="I132" s="34">
        <f t="shared" si="25"/>
        <v>0</v>
      </c>
      <c r="J132" s="34">
        <f t="shared" si="26"/>
        <v>1</v>
      </c>
      <c r="K132" s="34">
        <f t="shared" si="27"/>
        <v>0</v>
      </c>
      <c r="L132" s="35">
        <f t="shared" si="28"/>
        <v>0</v>
      </c>
      <c r="M132" s="36" t="str">
        <f t="shared" si="29"/>
        <v>LOW</v>
      </c>
      <c r="W132">
        <v>26</v>
      </c>
    </row>
    <row r="133" spans="1:23" x14ac:dyDescent="0.3">
      <c r="A133" s="3" t="s">
        <v>194</v>
      </c>
      <c r="B133" s="5">
        <v>3370.51</v>
      </c>
      <c r="C133" s="34">
        <v>11</v>
      </c>
      <c r="D133" s="3" t="s">
        <v>74</v>
      </c>
      <c r="E133" s="34" t="str" cm="1">
        <f t="array" ref="E133">_xlfn.IFS(AND(W133&gt;=18,W133&lt;=25),"18-25",AND(W133&gt;25,W133&lt;=35),"26-35",AND(W133&gt;35,W133&lt;=45),"36-45",AND(W133&gt;45,W133&lt;=55),"46-55",AND(W133&gt;55,W133&lt;=65),"56-65",W133&gt;65,"65+")</f>
        <v>18-25</v>
      </c>
      <c r="F133" s="34">
        <v>4</v>
      </c>
      <c r="G133" s="3" t="s">
        <v>40</v>
      </c>
      <c r="H133" s="34">
        <f t="shared" si="24"/>
        <v>0</v>
      </c>
      <c r="I133" s="34">
        <f t="shared" si="25"/>
        <v>0</v>
      </c>
      <c r="J133" s="34">
        <f t="shared" si="26"/>
        <v>0</v>
      </c>
      <c r="K133" s="34">
        <f t="shared" si="27"/>
        <v>1</v>
      </c>
      <c r="L133" s="35">
        <f t="shared" si="28"/>
        <v>0</v>
      </c>
      <c r="M133" s="36" t="str">
        <f t="shared" si="29"/>
        <v>LOW</v>
      </c>
      <c r="W133">
        <v>24</v>
      </c>
    </row>
    <row r="134" spans="1:23" x14ac:dyDescent="0.3">
      <c r="A134" s="3" t="s">
        <v>195</v>
      </c>
      <c r="B134" s="5">
        <v>1841.99</v>
      </c>
      <c r="C134" s="34">
        <v>13</v>
      </c>
      <c r="D134" s="3" t="s">
        <v>42</v>
      </c>
      <c r="E134" s="34" t="str" cm="1">
        <f t="array" ref="E134">_xlfn.IFS(AND(W134&gt;=18,W134&lt;=25),"18-25",AND(W134&gt;25,W134&lt;=35),"26-35",AND(W134&gt;35,W134&lt;=45),"36-45",AND(W134&gt;45,W134&lt;=55),"46-55",AND(W134&gt;55,W134&lt;=65),"56-65",W134&gt;65,"65+")</f>
        <v>36-45</v>
      </c>
      <c r="F134" s="34">
        <v>6</v>
      </c>
      <c r="G134" s="3" t="s">
        <v>34</v>
      </c>
      <c r="H134" s="34">
        <f t="shared" si="24"/>
        <v>0</v>
      </c>
      <c r="I134" s="34">
        <f t="shared" si="25"/>
        <v>0</v>
      </c>
      <c r="J134" s="34">
        <f t="shared" si="26"/>
        <v>0</v>
      </c>
      <c r="K134" s="34">
        <f t="shared" si="27"/>
        <v>1</v>
      </c>
      <c r="L134" s="35">
        <f t="shared" si="28"/>
        <v>2</v>
      </c>
      <c r="M134" s="36" t="str">
        <f t="shared" si="29"/>
        <v>LOW</v>
      </c>
      <c r="W134">
        <v>45</v>
      </c>
    </row>
    <row r="135" spans="1:23" x14ac:dyDescent="0.3">
      <c r="A135" s="3" t="s">
        <v>196</v>
      </c>
      <c r="B135" s="5">
        <v>5097.3500000000004</v>
      </c>
      <c r="C135" s="34">
        <v>20</v>
      </c>
      <c r="D135" s="3" t="s">
        <v>85</v>
      </c>
      <c r="E135" s="34" t="str" cm="1">
        <f t="array" ref="E135">_xlfn.IFS(AND(W135&gt;=18,W135&lt;=25),"18-25",AND(W135&gt;25,W135&lt;=35),"26-35",AND(W135&gt;35,W135&lt;=45),"36-45",AND(W135&gt;45,W135&lt;=55),"46-55",AND(W135&gt;55,W135&lt;=65),"56-65",W135&gt;65,"65+")</f>
        <v>26-35</v>
      </c>
      <c r="F135" s="34">
        <v>5</v>
      </c>
      <c r="G135" s="3" t="s">
        <v>54</v>
      </c>
      <c r="H135" s="34">
        <f t="shared" si="24"/>
        <v>0</v>
      </c>
      <c r="I135" s="34">
        <f t="shared" si="25"/>
        <v>0</v>
      </c>
      <c r="J135" s="34">
        <f t="shared" si="26"/>
        <v>1</v>
      </c>
      <c r="K135" s="34">
        <f t="shared" si="27"/>
        <v>1</v>
      </c>
      <c r="L135" s="35">
        <f t="shared" si="28"/>
        <v>2</v>
      </c>
      <c r="M135" s="36" t="str">
        <f t="shared" si="29"/>
        <v>LOW</v>
      </c>
      <c r="W135">
        <v>31</v>
      </c>
    </row>
    <row r="136" spans="1:23" x14ac:dyDescent="0.3">
      <c r="A136" s="3" t="s">
        <v>197</v>
      </c>
      <c r="B136" s="5">
        <v>14146.5</v>
      </c>
      <c r="C136" s="34">
        <v>5</v>
      </c>
      <c r="D136" s="3" t="s">
        <v>129</v>
      </c>
      <c r="E136" s="34" t="str" cm="1">
        <f t="array" ref="E136">_xlfn.IFS(AND(W136&gt;=18,W136&lt;=25),"18-25",AND(W136&gt;25,W136&lt;=35),"26-35",AND(W136&gt;35,W136&lt;=45),"36-45",AND(W136&gt;45,W136&lt;=55),"46-55",AND(W136&gt;55,W136&lt;=65),"56-65",W136&gt;65,"65+")</f>
        <v>46-55</v>
      </c>
      <c r="F136" s="34">
        <v>0</v>
      </c>
      <c r="G136" s="3" t="s">
        <v>54</v>
      </c>
      <c r="H136" s="34">
        <f t="shared" si="24"/>
        <v>1</v>
      </c>
      <c r="I136" s="34">
        <f t="shared" si="25"/>
        <v>1</v>
      </c>
      <c r="J136" s="34">
        <f t="shared" si="26"/>
        <v>1</v>
      </c>
      <c r="K136" s="34">
        <f t="shared" si="27"/>
        <v>0</v>
      </c>
      <c r="L136" s="35">
        <f t="shared" si="28"/>
        <v>12</v>
      </c>
      <c r="M136" s="36" t="str">
        <f t="shared" si="29"/>
        <v>CRITICAL</v>
      </c>
      <c r="W136">
        <v>48</v>
      </c>
    </row>
    <row r="137" spans="1:23" x14ac:dyDescent="0.3">
      <c r="A137" s="3" t="s">
        <v>198</v>
      </c>
      <c r="B137" s="5">
        <v>4881.88</v>
      </c>
      <c r="C137" s="34">
        <v>2</v>
      </c>
      <c r="D137" s="3" t="s">
        <v>62</v>
      </c>
      <c r="E137" s="34" t="str" cm="1">
        <f t="array" ref="E137">_xlfn.IFS(AND(W137&gt;=18,W137&lt;=25),"18-25",AND(W137&gt;25,W137&lt;=35),"26-35",AND(W137&gt;35,W137&lt;=45),"36-45",AND(W137&gt;45,W137&lt;=55),"46-55",AND(W137&gt;55,W137&lt;=65),"56-65",W137&gt;65,"65+")</f>
        <v>65+</v>
      </c>
      <c r="F137" s="34">
        <v>4</v>
      </c>
      <c r="G137" s="3" t="s">
        <v>37</v>
      </c>
      <c r="H137" s="34">
        <f t="shared" si="24"/>
        <v>1</v>
      </c>
      <c r="I137" s="34">
        <f t="shared" si="25"/>
        <v>1</v>
      </c>
      <c r="J137" s="34">
        <f t="shared" si="26"/>
        <v>0</v>
      </c>
      <c r="K137" s="34">
        <f t="shared" si="27"/>
        <v>1</v>
      </c>
      <c r="L137" s="35">
        <f t="shared" si="28"/>
        <v>4</v>
      </c>
      <c r="M137" s="36" t="str">
        <f t="shared" si="29"/>
        <v>MEDIUM</v>
      </c>
      <c r="W137">
        <v>69</v>
      </c>
    </row>
    <row r="138" spans="1:23" x14ac:dyDescent="0.3">
      <c r="A138" s="3" t="s">
        <v>199</v>
      </c>
      <c r="B138" s="5">
        <v>7805.92</v>
      </c>
      <c r="C138" s="34">
        <v>8</v>
      </c>
      <c r="D138" s="3" t="s">
        <v>42</v>
      </c>
      <c r="E138" s="34" t="str" cm="1">
        <f t="array" ref="E138">_xlfn.IFS(AND(W138&gt;=18,W138&lt;=25),"18-25",AND(W138&gt;25,W138&lt;=35),"26-35",AND(W138&gt;35,W138&lt;=45),"36-45",AND(W138&gt;45,W138&lt;=55),"46-55",AND(W138&gt;55,W138&lt;=65),"56-65",W138&gt;65,"65+")</f>
        <v>36-45</v>
      </c>
      <c r="F138" s="34">
        <v>4</v>
      </c>
      <c r="G138" s="3" t="s">
        <v>34</v>
      </c>
      <c r="H138" s="34">
        <f t="shared" si="24"/>
        <v>0</v>
      </c>
      <c r="I138" s="34">
        <f t="shared" si="25"/>
        <v>0</v>
      </c>
      <c r="J138" s="34">
        <f t="shared" si="26"/>
        <v>1</v>
      </c>
      <c r="K138" s="34">
        <f t="shared" si="27"/>
        <v>1</v>
      </c>
      <c r="L138" s="35">
        <f t="shared" si="28"/>
        <v>0</v>
      </c>
      <c r="M138" s="36" t="str">
        <f t="shared" si="29"/>
        <v>LOW</v>
      </c>
      <c r="W138">
        <v>36</v>
      </c>
    </row>
    <row r="139" spans="1:23" x14ac:dyDescent="0.3">
      <c r="A139" s="3" t="s">
        <v>200</v>
      </c>
      <c r="B139" s="5">
        <v>10560.13</v>
      </c>
      <c r="C139" s="34">
        <v>4</v>
      </c>
      <c r="D139" s="3" t="s">
        <v>42</v>
      </c>
      <c r="E139" s="34" t="str" cm="1">
        <f t="array" ref="E139">_xlfn.IFS(AND(W139&gt;=18,W139&lt;=25),"18-25",AND(W139&gt;25,W139&lt;=35),"26-35",AND(W139&gt;35,W139&lt;=45),"36-45",AND(W139&gt;45,W139&lt;=55),"46-55",AND(W139&gt;55,W139&lt;=65),"56-65",W139&gt;65,"65+")</f>
        <v>65+</v>
      </c>
      <c r="F139" s="34">
        <v>5</v>
      </c>
      <c r="G139" s="3" t="s">
        <v>58</v>
      </c>
      <c r="H139" s="34">
        <f t="shared" si="24"/>
        <v>0</v>
      </c>
      <c r="I139" s="34">
        <f t="shared" si="25"/>
        <v>1</v>
      </c>
      <c r="J139" s="34">
        <f t="shared" si="26"/>
        <v>1</v>
      </c>
      <c r="K139" s="34">
        <f t="shared" si="27"/>
        <v>1</v>
      </c>
      <c r="L139" s="35">
        <f t="shared" si="28"/>
        <v>4</v>
      </c>
      <c r="M139" s="36" t="str">
        <f t="shared" si="29"/>
        <v>MEDIUM</v>
      </c>
      <c r="W139">
        <v>75</v>
      </c>
    </row>
    <row r="140" spans="1:23" x14ac:dyDescent="0.3">
      <c r="A140" s="3" t="s">
        <v>201</v>
      </c>
      <c r="B140" s="5">
        <v>5486.26</v>
      </c>
      <c r="C140" s="34">
        <v>23</v>
      </c>
      <c r="D140" s="3" t="s">
        <v>42</v>
      </c>
      <c r="E140" s="34" t="str" cm="1">
        <f t="array" ref="E140">_xlfn.IFS(AND(W140&gt;=18,W140&lt;=25),"18-25",AND(W140&gt;25,W140&lt;=35),"26-35",AND(W140&gt;35,W140&lt;=45),"36-45",AND(W140&gt;45,W140&lt;=55),"46-55",AND(W140&gt;55,W140&lt;=65),"56-65",W140&gt;65,"65+")</f>
        <v>56-65</v>
      </c>
      <c r="F140" s="34">
        <v>2</v>
      </c>
      <c r="G140" s="3" t="s">
        <v>60</v>
      </c>
      <c r="H140" s="34">
        <f t="shared" si="24"/>
        <v>0</v>
      </c>
      <c r="I140" s="34">
        <f t="shared" si="25"/>
        <v>0</v>
      </c>
      <c r="J140" s="34">
        <f t="shared" si="26"/>
        <v>1</v>
      </c>
      <c r="K140" s="34">
        <f t="shared" si="27"/>
        <v>0</v>
      </c>
      <c r="L140" s="35">
        <f t="shared" si="28"/>
        <v>0</v>
      </c>
      <c r="M140" s="36" t="str">
        <f t="shared" si="29"/>
        <v>LOW</v>
      </c>
      <c r="W140">
        <v>64</v>
      </c>
    </row>
    <row r="141" spans="1:23" x14ac:dyDescent="0.3">
      <c r="A141" s="3" t="s">
        <v>202</v>
      </c>
      <c r="B141" s="5">
        <v>14578.14</v>
      </c>
      <c r="C141" s="34">
        <v>16</v>
      </c>
      <c r="D141" s="3" t="s">
        <v>91</v>
      </c>
      <c r="E141" s="34" t="str" cm="1">
        <f t="array" ref="E141">_xlfn.IFS(AND(W141&gt;=18,W141&lt;=25),"18-25",AND(W141&gt;25,W141&lt;=35),"26-35",AND(W141&gt;35,W141&lt;=45),"36-45",AND(W141&gt;45,W141&lt;=55),"46-55",AND(W141&gt;55,W141&lt;=65),"56-65",W141&gt;65,"65+")</f>
        <v>26-35</v>
      </c>
      <c r="F141" s="34">
        <v>4</v>
      </c>
      <c r="G141" s="3" t="s">
        <v>58</v>
      </c>
      <c r="H141" s="34">
        <f t="shared" si="24"/>
        <v>1</v>
      </c>
      <c r="I141" s="34">
        <f t="shared" si="25"/>
        <v>0</v>
      </c>
      <c r="J141" s="34">
        <f t="shared" si="26"/>
        <v>1</v>
      </c>
      <c r="K141" s="34">
        <f t="shared" si="27"/>
        <v>1</v>
      </c>
      <c r="L141" s="35">
        <f t="shared" si="28"/>
        <v>5</v>
      </c>
      <c r="M141" s="36" t="str">
        <f t="shared" si="29"/>
        <v>MEDIUM</v>
      </c>
      <c r="W141">
        <v>33</v>
      </c>
    </row>
    <row r="142" spans="1:23" x14ac:dyDescent="0.3">
      <c r="A142" s="3" t="s">
        <v>203</v>
      </c>
      <c r="B142" s="5">
        <v>14438.59</v>
      </c>
      <c r="C142" s="34">
        <v>13</v>
      </c>
      <c r="D142" s="3" t="s">
        <v>129</v>
      </c>
      <c r="E142" s="34" t="str" cm="1">
        <f t="array" ref="E142">_xlfn.IFS(AND(W142&gt;=18,W142&lt;=25),"18-25",AND(W142&gt;25,W142&lt;=35),"26-35",AND(W142&gt;35,W142&lt;=45),"36-45",AND(W142&gt;45,W142&lt;=55),"46-55",AND(W142&gt;55,W142&lt;=65),"56-65",W142&gt;65,"65+")</f>
        <v>65+</v>
      </c>
      <c r="F142" s="34">
        <v>6</v>
      </c>
      <c r="G142" s="3" t="s">
        <v>107</v>
      </c>
      <c r="H142" s="34">
        <f t="shared" si="24"/>
        <v>1</v>
      </c>
      <c r="I142" s="34">
        <f t="shared" si="25"/>
        <v>0</v>
      </c>
      <c r="J142" s="34">
        <f t="shared" si="26"/>
        <v>1</v>
      </c>
      <c r="K142" s="34">
        <f t="shared" si="27"/>
        <v>1</v>
      </c>
      <c r="L142" s="35">
        <f t="shared" si="28"/>
        <v>7</v>
      </c>
      <c r="M142" s="36" t="str">
        <f t="shared" si="29"/>
        <v>HIGH</v>
      </c>
      <c r="W142">
        <v>70</v>
      </c>
    </row>
    <row r="143" spans="1:23" x14ac:dyDescent="0.3">
      <c r="A143" s="3" t="s">
        <v>204</v>
      </c>
      <c r="B143" s="5">
        <v>3814.15</v>
      </c>
      <c r="C143" s="34">
        <v>20</v>
      </c>
      <c r="D143" s="3" t="s">
        <v>85</v>
      </c>
      <c r="E143" s="34" t="str" cm="1">
        <f t="array" ref="E143">_xlfn.IFS(AND(W143&gt;=18,W143&lt;=25),"18-25",AND(W143&gt;25,W143&lt;=35),"26-35",AND(W143&gt;35,W143&lt;=45),"36-45",AND(W143&gt;45,W143&lt;=55),"46-55",AND(W143&gt;55,W143&lt;=65),"56-65",W143&gt;65,"65+")</f>
        <v>18-25</v>
      </c>
      <c r="F143" s="34">
        <v>4</v>
      </c>
      <c r="G143" s="3" t="s">
        <v>110</v>
      </c>
      <c r="H143" s="34">
        <f t="shared" si="24"/>
        <v>0</v>
      </c>
      <c r="I143" s="34">
        <f t="shared" si="25"/>
        <v>0</v>
      </c>
      <c r="J143" s="34">
        <f t="shared" si="26"/>
        <v>0</v>
      </c>
      <c r="K143" s="34">
        <f t="shared" si="27"/>
        <v>1</v>
      </c>
      <c r="L143" s="35">
        <f t="shared" si="28"/>
        <v>0</v>
      </c>
      <c r="M143" s="36" t="str">
        <f t="shared" si="29"/>
        <v>LOW</v>
      </c>
      <c r="W143">
        <v>22</v>
      </c>
    </row>
    <row r="144" spans="1:23" x14ac:dyDescent="0.3">
      <c r="A144" s="3" t="s">
        <v>205</v>
      </c>
      <c r="B144" s="5">
        <v>7483.87</v>
      </c>
      <c r="C144" s="34">
        <v>2</v>
      </c>
      <c r="D144" s="3" t="s">
        <v>28</v>
      </c>
      <c r="E144" s="34" t="str" cm="1">
        <f t="array" ref="E144">_xlfn.IFS(AND(W144&gt;=18,W144&lt;=25),"18-25",AND(W144&gt;25,W144&lt;=35),"26-35",AND(W144&gt;35,W144&lt;=45),"36-45",AND(W144&gt;45,W144&lt;=55),"46-55",AND(W144&gt;55,W144&lt;=65),"56-65",W144&gt;65,"65+")</f>
        <v>46-55</v>
      </c>
      <c r="F144" s="34">
        <v>4</v>
      </c>
      <c r="G144" s="3" t="s">
        <v>40</v>
      </c>
      <c r="H144" s="34">
        <f t="shared" si="24"/>
        <v>0</v>
      </c>
      <c r="I144" s="34">
        <f t="shared" si="25"/>
        <v>1</v>
      </c>
      <c r="J144" s="34">
        <f t="shared" si="26"/>
        <v>1</v>
      </c>
      <c r="K144" s="34">
        <f t="shared" si="27"/>
        <v>1</v>
      </c>
      <c r="L144" s="35">
        <f t="shared" si="28"/>
        <v>2</v>
      </c>
      <c r="M144" s="36" t="str">
        <f t="shared" si="29"/>
        <v>LOW</v>
      </c>
      <c r="W144">
        <v>52</v>
      </c>
    </row>
    <row r="145" spans="1:23" x14ac:dyDescent="0.3">
      <c r="A145" s="3" t="s">
        <v>206</v>
      </c>
      <c r="B145" s="5">
        <v>4548.13</v>
      </c>
      <c r="C145" s="34">
        <v>0</v>
      </c>
      <c r="D145" s="3" t="s">
        <v>28</v>
      </c>
      <c r="E145" s="34" t="str" cm="1">
        <f t="array" ref="E145">_xlfn.IFS(AND(W145&gt;=18,W145&lt;=25),"18-25",AND(W145&gt;25,W145&lt;=35),"26-35",AND(W145&gt;35,W145&lt;=45),"36-45",AND(W145&gt;45,W145&lt;=55),"46-55",AND(W145&gt;55,W145&lt;=65),"56-65",W145&gt;65,"65+")</f>
        <v>26-35</v>
      </c>
      <c r="F145" s="34">
        <v>4</v>
      </c>
      <c r="G145" s="3" t="s">
        <v>44</v>
      </c>
      <c r="H145" s="34">
        <f t="shared" si="24"/>
        <v>0</v>
      </c>
      <c r="I145" s="34">
        <f t="shared" si="25"/>
        <v>0</v>
      </c>
      <c r="J145" s="34">
        <f t="shared" si="26"/>
        <v>0</v>
      </c>
      <c r="K145" s="34">
        <f t="shared" si="27"/>
        <v>1</v>
      </c>
      <c r="L145" s="35">
        <f t="shared" si="28"/>
        <v>0</v>
      </c>
      <c r="M145" s="36" t="str">
        <f t="shared" si="29"/>
        <v>LOW</v>
      </c>
      <c r="W145">
        <v>29</v>
      </c>
    </row>
    <row r="146" spans="1:23" x14ac:dyDescent="0.3">
      <c r="A146" s="3" t="s">
        <v>207</v>
      </c>
      <c r="B146" s="5">
        <v>4308.37</v>
      </c>
      <c r="C146" s="34">
        <v>19</v>
      </c>
      <c r="D146" s="3" t="s">
        <v>129</v>
      </c>
      <c r="E146" s="34" t="str" cm="1">
        <f t="array" ref="E146">_xlfn.IFS(AND(W146&gt;=18,W146&lt;=25),"18-25",AND(W146&gt;25,W146&lt;=35),"26-35",AND(W146&gt;35,W146&lt;=45),"36-45",AND(W146&gt;45,W146&lt;=55),"46-55",AND(W146&gt;55,W146&lt;=65),"56-65",W146&gt;65,"65+")</f>
        <v>36-45</v>
      </c>
      <c r="F146" s="34">
        <v>9</v>
      </c>
      <c r="G146" s="3" t="s">
        <v>70</v>
      </c>
      <c r="H146" s="34">
        <f t="shared" si="24"/>
        <v>1</v>
      </c>
      <c r="I146" s="34">
        <f t="shared" si="25"/>
        <v>0</v>
      </c>
      <c r="J146" s="34">
        <f t="shared" si="26"/>
        <v>0</v>
      </c>
      <c r="K146" s="34">
        <f t="shared" si="27"/>
        <v>1</v>
      </c>
      <c r="L146" s="35">
        <f t="shared" si="28"/>
        <v>4</v>
      </c>
      <c r="M146" s="36" t="str">
        <f t="shared" si="29"/>
        <v>MEDIUM</v>
      </c>
      <c r="W146">
        <v>42</v>
      </c>
    </row>
    <row r="147" spans="1:23" x14ac:dyDescent="0.3">
      <c r="A147" s="3" t="s">
        <v>208</v>
      </c>
      <c r="B147" s="5">
        <v>601.46</v>
      </c>
      <c r="C147" s="34">
        <v>20</v>
      </c>
      <c r="D147" s="3" t="s">
        <v>49</v>
      </c>
      <c r="E147" s="34" t="str" cm="1">
        <f t="array" ref="E147">_xlfn.IFS(AND(W147&gt;=18,W147&lt;=25),"18-25",AND(W147&gt;25,W147&lt;=35),"26-35",AND(W147&gt;35,W147&lt;=45),"36-45",AND(W147&gt;45,W147&lt;=55),"46-55",AND(W147&gt;55,W147&lt;=65),"56-65",W147&gt;65,"65+")</f>
        <v>65+</v>
      </c>
      <c r="F147" s="34">
        <v>9</v>
      </c>
      <c r="G147" s="3" t="s">
        <v>187</v>
      </c>
      <c r="H147" s="34">
        <f t="shared" si="24"/>
        <v>0</v>
      </c>
      <c r="I147" s="34">
        <f t="shared" si="25"/>
        <v>0</v>
      </c>
      <c r="J147" s="34">
        <f t="shared" si="26"/>
        <v>0</v>
      </c>
      <c r="K147" s="34">
        <f t="shared" si="27"/>
        <v>1</v>
      </c>
      <c r="L147" s="35">
        <f t="shared" si="28"/>
        <v>2</v>
      </c>
      <c r="M147" s="36" t="str">
        <f t="shared" si="29"/>
        <v>LOW</v>
      </c>
      <c r="W147">
        <v>69</v>
      </c>
    </row>
    <row r="148" spans="1:23" x14ac:dyDescent="0.3">
      <c r="A148" s="3" t="s">
        <v>209</v>
      </c>
      <c r="B148" s="5">
        <v>9162.99</v>
      </c>
      <c r="C148" s="34">
        <v>22</v>
      </c>
      <c r="D148" s="3" t="s">
        <v>91</v>
      </c>
      <c r="E148" s="34" t="str" cm="1">
        <f t="array" ref="E148">_xlfn.IFS(AND(W148&gt;=18,W148&lt;=25),"18-25",AND(W148&gt;25,W148&lt;=35),"26-35",AND(W148&gt;35,W148&lt;=45),"36-45",AND(W148&gt;45,W148&lt;=55),"46-55",AND(W148&gt;55,W148&lt;=65),"56-65",W148&gt;65,"65+")</f>
        <v>65+</v>
      </c>
      <c r="F148" s="34">
        <v>2</v>
      </c>
      <c r="G148" s="3" t="s">
        <v>56</v>
      </c>
      <c r="H148" s="34">
        <f t="shared" si="24"/>
        <v>1</v>
      </c>
      <c r="I148" s="34">
        <f t="shared" si="25"/>
        <v>0</v>
      </c>
      <c r="J148" s="34">
        <f t="shared" si="26"/>
        <v>1</v>
      </c>
      <c r="K148" s="34">
        <f t="shared" si="27"/>
        <v>0</v>
      </c>
      <c r="L148" s="35">
        <f t="shared" si="28"/>
        <v>5</v>
      </c>
      <c r="M148" s="36" t="str">
        <f t="shared" si="29"/>
        <v>MEDIUM</v>
      </c>
      <c r="W148">
        <v>76</v>
      </c>
    </row>
    <row r="149" spans="1:23" x14ac:dyDescent="0.3">
      <c r="A149" s="3" t="s">
        <v>210</v>
      </c>
      <c r="B149" s="5">
        <v>7565.05</v>
      </c>
      <c r="C149" s="34">
        <v>0</v>
      </c>
      <c r="D149" s="3" t="s">
        <v>62</v>
      </c>
      <c r="E149" s="34" t="str" cm="1">
        <f t="array" ref="E149">_xlfn.IFS(AND(W149&gt;=18,W149&lt;=25),"18-25",AND(W149&gt;25,W149&lt;=35),"26-35",AND(W149&gt;35,W149&lt;=45),"36-45",AND(W149&gt;45,W149&lt;=55),"46-55",AND(W149&gt;55,W149&lt;=65),"56-65",W149&gt;65,"65+")</f>
        <v>36-45</v>
      </c>
      <c r="F149" s="34">
        <v>0</v>
      </c>
      <c r="G149" s="3" t="s">
        <v>92</v>
      </c>
      <c r="H149" s="34">
        <f t="shared" si="24"/>
        <v>1</v>
      </c>
      <c r="I149" s="34">
        <f t="shared" si="25"/>
        <v>0</v>
      </c>
      <c r="J149" s="34">
        <f t="shared" si="26"/>
        <v>1</v>
      </c>
      <c r="K149" s="34">
        <f t="shared" si="27"/>
        <v>0</v>
      </c>
      <c r="L149" s="35">
        <f t="shared" si="28"/>
        <v>5</v>
      </c>
      <c r="M149" s="36" t="str">
        <f t="shared" si="29"/>
        <v>MEDIUM</v>
      </c>
      <c r="W149">
        <v>38</v>
      </c>
    </row>
    <row r="150" spans="1:23" x14ac:dyDescent="0.3">
      <c r="A150" s="3" t="s">
        <v>211</v>
      </c>
      <c r="B150" s="5">
        <v>819.61</v>
      </c>
      <c r="C150" s="34">
        <v>2</v>
      </c>
      <c r="D150" s="3" t="s">
        <v>42</v>
      </c>
      <c r="E150" s="34" t="str" cm="1">
        <f t="array" ref="E150">_xlfn.IFS(AND(W150&gt;=18,W150&lt;=25),"18-25",AND(W150&gt;25,W150&lt;=35),"26-35",AND(W150&gt;35,W150&lt;=45),"36-45",AND(W150&gt;45,W150&lt;=55),"46-55",AND(W150&gt;55,W150&lt;=65),"56-65",W150&gt;65,"65+")</f>
        <v>46-55</v>
      </c>
      <c r="F150" s="34">
        <v>4</v>
      </c>
      <c r="G150" s="3" t="s">
        <v>63</v>
      </c>
      <c r="H150" s="34">
        <f t="shared" si="24"/>
        <v>0</v>
      </c>
      <c r="I150" s="34">
        <f t="shared" si="25"/>
        <v>1</v>
      </c>
      <c r="J150" s="34">
        <f t="shared" si="26"/>
        <v>0</v>
      </c>
      <c r="K150" s="34">
        <f t="shared" si="27"/>
        <v>1</v>
      </c>
      <c r="L150" s="35">
        <f t="shared" si="28"/>
        <v>0</v>
      </c>
      <c r="M150" s="36" t="str">
        <f t="shared" si="29"/>
        <v>LOW</v>
      </c>
      <c r="W150">
        <v>53</v>
      </c>
    </row>
    <row r="151" spans="1:23" x14ac:dyDescent="0.3">
      <c r="A151" s="3" t="s">
        <v>212</v>
      </c>
      <c r="B151" s="5">
        <v>4215.76</v>
      </c>
      <c r="C151" s="34">
        <v>17</v>
      </c>
      <c r="D151" s="3" t="s">
        <v>42</v>
      </c>
      <c r="E151" s="34" t="str" cm="1">
        <f t="array" ref="E151">_xlfn.IFS(AND(W151&gt;=18,W151&lt;=25),"18-25",AND(W151&gt;25,W151&lt;=35),"26-35",AND(W151&gt;35,W151&lt;=45),"36-45",AND(W151&gt;45,W151&lt;=55),"46-55",AND(W151&gt;55,W151&lt;=65),"56-65",W151&gt;65,"65+")</f>
        <v>65+</v>
      </c>
      <c r="F151" s="34">
        <v>8</v>
      </c>
      <c r="G151" s="3" t="s">
        <v>29</v>
      </c>
      <c r="H151" s="34">
        <f t="shared" si="24"/>
        <v>0</v>
      </c>
      <c r="I151" s="34">
        <f t="shared" si="25"/>
        <v>0</v>
      </c>
      <c r="J151" s="34">
        <f t="shared" si="26"/>
        <v>0</v>
      </c>
      <c r="K151" s="34">
        <f t="shared" si="27"/>
        <v>1</v>
      </c>
      <c r="L151" s="35">
        <f t="shared" si="28"/>
        <v>2</v>
      </c>
      <c r="M151" s="36" t="str">
        <f t="shared" si="29"/>
        <v>LOW</v>
      </c>
      <c r="W151">
        <v>70</v>
      </c>
    </row>
  </sheetData>
  <conditionalFormatting sqref="B2:B151">
    <cfRule type="cellIs" dxfId="6" priority="7" operator="greaterThan">
      <formula>5000</formula>
    </cfRule>
  </conditionalFormatting>
  <conditionalFormatting sqref="L2:L151">
    <cfRule type="cellIs" dxfId="5" priority="5" operator="greaterThanOrEqual">
      <formula>7</formula>
    </cfRule>
    <cfRule type="cellIs" dxfId="4" priority="6" operator="greaterThanOrEqual">
      <formula>10</formula>
    </cfRule>
  </conditionalFormatting>
  <conditionalFormatting sqref="M2:M151">
    <cfRule type="expression" dxfId="3" priority="1" stopIfTrue="1">
      <formula>$M2="CRITICAL"</formula>
    </cfRule>
    <cfRule type="expression" dxfId="2" priority="2" stopIfTrue="1">
      <formula>$M2="HIGH"</formula>
    </cfRule>
    <cfRule type="expression" dxfId="1" priority="3" stopIfTrue="1">
      <formula>$M2="MEDIUM"</formula>
    </cfRule>
    <cfRule type="expression" dxfId="0" priority="4" stopIfTrue="1">
      <formula>$M2="LOW"</formula>
    </cfRule>
  </conditionalFormatting>
  <pageMargins left="0.25" right="0.25" top="0.75" bottom="0.75" header="0.3" footer="0.3"/>
  <pageSetup paperSize="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workbookViewId="0"/>
  </sheetViews>
  <sheetFormatPr defaultRowHeight="14.4" x14ac:dyDescent="0.3"/>
  <cols>
    <col min="1" max="1" width="15" customWidth="1"/>
    <col min="2" max="2" width="12" customWidth="1"/>
    <col min="3" max="4" width="15" customWidth="1"/>
    <col min="5" max="5" width="12" customWidth="1"/>
    <col min="6" max="6" width="15" customWidth="1"/>
    <col min="8" max="8" width="12.5546875" bestFit="1" customWidth="1"/>
    <col min="9" max="9" width="17.6640625" bestFit="1" customWidth="1"/>
    <col min="10" max="10" width="19.21875" bestFit="1" customWidth="1"/>
    <col min="11" max="11" width="15.88671875" bestFit="1" customWidth="1"/>
    <col min="12" max="12" width="15.5546875" bestFit="1" customWidth="1"/>
    <col min="13" max="18" width="2" bestFit="1" customWidth="1"/>
    <col min="19" max="32" width="3" bestFit="1" customWidth="1"/>
    <col min="33" max="33" width="10.77734375" bestFit="1" customWidth="1"/>
  </cols>
  <sheetData>
    <row r="1" spans="1:6" ht="15.6" x14ac:dyDescent="0.3">
      <c r="A1" s="1" t="s">
        <v>213</v>
      </c>
    </row>
    <row r="2" spans="1:6" x14ac:dyDescent="0.3">
      <c r="A2" s="2" t="s">
        <v>14</v>
      </c>
      <c r="B2" s="2" t="s">
        <v>214</v>
      </c>
      <c r="C2" s="2" t="s">
        <v>215</v>
      </c>
      <c r="D2" s="2" t="s">
        <v>10</v>
      </c>
      <c r="E2" s="2" t="s">
        <v>216</v>
      </c>
      <c r="F2" s="2" t="s">
        <v>217</v>
      </c>
    </row>
    <row r="3" spans="1:6" x14ac:dyDescent="0.3">
      <c r="A3" s="3" t="s">
        <v>53</v>
      </c>
      <c r="B3" s="3">
        <f>COUNTIF(Transactions!$D$2:$D$151,A3)</f>
        <v>3</v>
      </c>
      <c r="C3" s="4">
        <f>AVERAGEIF(Transactions!$D$2:$D$151,A3,Transactions!$L$2:$L$151)</f>
        <v>1.3333333333333333</v>
      </c>
      <c r="D3" s="4">
        <f>_xlfn.MAXIFS(Transactions!$L$2:$L$151,Transactions!$D$2:$D$151,A3)</f>
        <v>2</v>
      </c>
      <c r="E3" s="4">
        <f>COUNTIFS(Transactions!$D$2:$D$151,A3,Transactions!$M$2:$M$151,"CRITICAL")/B3</f>
        <v>0</v>
      </c>
      <c r="F3" s="5">
        <f>SUMIF(Transactions!$D$2:$D$151,A3,Transactions!$B$2:$B$151)</f>
        <v>29855.530000000002</v>
      </c>
    </row>
    <row r="4" spans="1:6" x14ac:dyDescent="0.3">
      <c r="A4" s="3" t="s">
        <v>46</v>
      </c>
      <c r="B4" s="3">
        <f>COUNTIF(Transactions!$D$2:$D$151,A4)</f>
        <v>8</v>
      </c>
      <c r="C4" s="4">
        <f>AVERAGEIF(Transactions!$D$2:$D$151,A4,Transactions!$L$2:$L$151)</f>
        <v>6.75</v>
      </c>
      <c r="D4" s="4">
        <f>_xlfn.MAXIFS(Transactions!$L$2:$L$151,Transactions!$D$2:$D$151,A4)</f>
        <v>14</v>
      </c>
      <c r="E4" s="4">
        <f>COUNTIFS(Transactions!$D$2:$D$151,A4,Transactions!$M$2:$M$151,"CRITICAL")/B4</f>
        <v>0.25</v>
      </c>
      <c r="F4" s="5">
        <f>SUMIF(Transactions!$D$2:$D$151,A4,Transactions!$B$2:$B$151)</f>
        <v>66649.430000000008</v>
      </c>
    </row>
    <row r="5" spans="1:6" x14ac:dyDescent="0.3">
      <c r="A5" s="3" t="s">
        <v>39</v>
      </c>
      <c r="B5" s="3">
        <f>COUNTIF(Transactions!$D$2:$D$151,A5)</f>
        <v>9</v>
      </c>
      <c r="C5" s="4">
        <f>AVERAGEIF(Transactions!$D$2:$D$151,A5,Transactions!$L$2:$L$151)</f>
        <v>2.2222222222222223</v>
      </c>
      <c r="D5" s="4">
        <f>_xlfn.MAXIFS(Transactions!$L$2:$L$151,Transactions!$D$2:$D$151,A5)</f>
        <v>4</v>
      </c>
      <c r="E5" s="4">
        <f>COUNTIFS(Transactions!$D$2:$D$151,A5,Transactions!$M$2:$M$151,"CRITICAL")/B5</f>
        <v>0</v>
      </c>
      <c r="F5" s="5">
        <f>SUMIF(Transactions!$D$2:$D$151,A5,Transactions!$B$2:$B$151)</f>
        <v>71031.12</v>
      </c>
    </row>
    <row r="6" spans="1:6" x14ac:dyDescent="0.3">
      <c r="A6" s="3" t="s">
        <v>28</v>
      </c>
      <c r="B6" s="3">
        <f>COUNTIF(Transactions!$D$2:$D$151,A6)</f>
        <v>20</v>
      </c>
      <c r="C6" s="4">
        <f>AVERAGEIF(Transactions!$D$2:$D$151,A6,Transactions!$L$2:$L$151)</f>
        <v>1.4</v>
      </c>
      <c r="D6" s="4">
        <f>_xlfn.MAXIFS(Transactions!$L$2:$L$151,Transactions!$D$2:$D$151,A6)</f>
        <v>4</v>
      </c>
      <c r="E6" s="4">
        <f>COUNTIFS(Transactions!$D$2:$D$151,A6,Transactions!$M$2:$M$151,"CRITICAL")/B6</f>
        <v>0</v>
      </c>
      <c r="F6" s="5">
        <f>SUMIF(Transactions!$D$2:$D$151,A6,Transactions!$B$2:$B$151)</f>
        <v>150970.22000000003</v>
      </c>
    </row>
    <row r="7" spans="1:6" x14ac:dyDescent="0.3">
      <c r="A7" s="3" t="s">
        <v>129</v>
      </c>
      <c r="B7" s="3">
        <f>COUNTIF(Transactions!$D$2:$D$151,A7)</f>
        <v>12</v>
      </c>
      <c r="C7" s="4">
        <f>AVERAGEIF(Transactions!$D$2:$D$151,A7,Transactions!$L$2:$L$151)</f>
        <v>4.333333333333333</v>
      </c>
      <c r="D7" s="4">
        <f>_xlfn.MAXIFS(Transactions!$L$2:$L$151,Transactions!$D$2:$D$151,A7)</f>
        <v>12</v>
      </c>
      <c r="E7" s="4">
        <f>COUNTIFS(Transactions!$D$2:$D$151,A7,Transactions!$M$2:$M$151,"CRITICAL")/B7</f>
        <v>8.3333333333333329E-2</v>
      </c>
      <c r="F7" s="5">
        <f>SUMIF(Transactions!$D$2:$D$151,A7,Transactions!$B$2:$B$151)</f>
        <v>96215.75</v>
      </c>
    </row>
    <row r="8" spans="1:6" x14ac:dyDescent="0.3">
      <c r="A8" s="3" t="s">
        <v>85</v>
      </c>
      <c r="B8" s="3">
        <f>COUNTIF(Transactions!$D$2:$D$151,A8)</f>
        <v>13</v>
      </c>
      <c r="C8" s="4">
        <f>AVERAGEIF(Transactions!$D$2:$D$151,A8,Transactions!$L$2:$L$151)</f>
        <v>1</v>
      </c>
      <c r="D8" s="4">
        <f>_xlfn.MAXIFS(Transactions!$L$2:$L$151,Transactions!$D$2:$D$151,A8)</f>
        <v>2</v>
      </c>
      <c r="E8" s="4">
        <f>COUNTIFS(Transactions!$D$2:$D$151,A8,Transactions!$M$2:$M$151,"CRITICAL")/B8</f>
        <v>0</v>
      </c>
      <c r="F8" s="5">
        <f>SUMIF(Transactions!$D$2:$D$151,A8,Transactions!$B$2:$B$151)</f>
        <v>87050.59</v>
      </c>
    </row>
    <row r="9" spans="1:6" x14ac:dyDescent="0.3">
      <c r="A9" s="3" t="s">
        <v>42</v>
      </c>
      <c r="B9" s="3">
        <f>COUNTIF(Transactions!$D$2:$D$151,A9)</f>
        <v>14</v>
      </c>
      <c r="C9" s="4">
        <f>AVERAGEIF(Transactions!$D$2:$D$151,A9,Transactions!$L$2:$L$151)</f>
        <v>1.6428571428571428</v>
      </c>
      <c r="D9" s="4">
        <f>_xlfn.MAXIFS(Transactions!$L$2:$L$151,Transactions!$D$2:$D$151,A9)</f>
        <v>4</v>
      </c>
      <c r="E9" s="4">
        <f>COUNTIFS(Transactions!$D$2:$D$151,A9,Transactions!$M$2:$M$151,"CRITICAL")/B9</f>
        <v>0</v>
      </c>
      <c r="F9" s="5">
        <f>SUMIF(Transactions!$D$2:$D$151,A9,Transactions!$B$2:$B$151)</f>
        <v>80741.23</v>
      </c>
    </row>
    <row r="10" spans="1:6" x14ac:dyDescent="0.3">
      <c r="A10" s="3" t="s">
        <v>62</v>
      </c>
      <c r="B10" s="3">
        <f>COUNTIF(Transactions!$D$2:$D$151,A10)</f>
        <v>11</v>
      </c>
      <c r="C10" s="4">
        <f>AVERAGEIF(Transactions!$D$2:$D$151,A10,Transactions!$L$2:$L$151)</f>
        <v>4.8181818181818183</v>
      </c>
      <c r="D10" s="4">
        <f>_xlfn.MAXIFS(Transactions!$L$2:$L$151,Transactions!$D$2:$D$151,A10)</f>
        <v>14</v>
      </c>
      <c r="E10" s="4">
        <f>COUNTIFS(Transactions!$D$2:$D$151,A10,Transactions!$M$2:$M$151,"CRITICAL")/B10</f>
        <v>9.0909090909090912E-2</v>
      </c>
      <c r="F10" s="5">
        <f>SUMIF(Transactions!$D$2:$D$151,A10,Transactions!$B$2:$B$151)</f>
        <v>58146.77</v>
      </c>
    </row>
    <row r="11" spans="1:6" x14ac:dyDescent="0.3">
      <c r="A11" s="3" t="s">
        <v>91</v>
      </c>
      <c r="B11" s="3">
        <f>COUNTIF(Transactions!$D$2:$D$151,A11)</f>
        <v>8</v>
      </c>
      <c r="C11" s="4">
        <f>AVERAGEIF(Transactions!$D$2:$D$151,A11,Transactions!$L$2:$L$151)</f>
        <v>3.75</v>
      </c>
      <c r="D11" s="4">
        <f>_xlfn.MAXIFS(Transactions!$L$2:$L$151,Transactions!$D$2:$D$151,A11)</f>
        <v>5</v>
      </c>
      <c r="E11" s="4">
        <f>COUNTIFS(Transactions!$D$2:$D$151,A11,Transactions!$M$2:$M$151,"CRITICAL")/B11</f>
        <v>0</v>
      </c>
      <c r="F11" s="5">
        <f>SUMIF(Transactions!$D$2:$D$151,A11,Transactions!$B$2:$B$151)</f>
        <v>60792.979999999996</v>
      </c>
    </row>
    <row r="12" spans="1:6" x14ac:dyDescent="0.3">
      <c r="A12" s="3" t="s">
        <v>36</v>
      </c>
      <c r="B12" s="3">
        <f>COUNTIF(Transactions!$D$2:$D$151,A12)</f>
        <v>9</v>
      </c>
      <c r="C12" s="4">
        <f>AVERAGEIF(Transactions!$D$2:$D$151,A12,Transactions!$L$2:$L$151)</f>
        <v>7.1111111111111107</v>
      </c>
      <c r="D12" s="4">
        <f>_xlfn.MAXIFS(Transactions!$L$2:$L$151,Transactions!$D$2:$D$151,A12)</f>
        <v>14</v>
      </c>
      <c r="E12" s="4">
        <f>COUNTIFS(Transactions!$D$2:$D$151,A12,Transactions!$M$2:$M$151,"CRITICAL")/B12</f>
        <v>0.33333333333333331</v>
      </c>
      <c r="F12" s="5">
        <f>SUMIF(Transactions!$D$2:$D$151,A12,Transactions!$B$2:$B$151)</f>
        <v>61700.159999999996</v>
      </c>
    </row>
    <row r="13" spans="1:6" x14ac:dyDescent="0.3">
      <c r="A13" s="3" t="s">
        <v>74</v>
      </c>
      <c r="B13" s="3">
        <f>COUNTIF(Transactions!$D$2:$D$151,A13)</f>
        <v>10</v>
      </c>
      <c r="C13" s="4">
        <f>AVERAGEIF(Transactions!$D$2:$D$151,A13,Transactions!$L$2:$L$151)</f>
        <v>1.2</v>
      </c>
      <c r="D13" s="4">
        <f>_xlfn.MAXIFS(Transactions!$L$2:$L$151,Transactions!$D$2:$D$151,A13)</f>
        <v>4</v>
      </c>
      <c r="E13" s="4">
        <f>COUNTIFS(Transactions!$D$2:$D$151,A13,Transactions!$M$2:$M$151,"CRITICAL")/B13</f>
        <v>0</v>
      </c>
      <c r="F13" s="5">
        <f>SUMIF(Transactions!$D$2:$D$151,A13,Transactions!$B$2:$B$151)</f>
        <v>68435.98</v>
      </c>
    </row>
    <row r="14" spans="1:6" x14ac:dyDescent="0.3">
      <c r="A14" s="3" t="s">
        <v>31</v>
      </c>
      <c r="B14" s="3">
        <f>COUNTIF(Transactions!$D$2:$D$151,A14)</f>
        <v>12</v>
      </c>
      <c r="C14" s="4">
        <f>AVERAGEIF(Transactions!$D$2:$D$151,A14,Transactions!$L$2:$L$151)</f>
        <v>4.25</v>
      </c>
      <c r="D14" s="4">
        <f>_xlfn.MAXIFS(Transactions!$L$2:$L$151,Transactions!$D$2:$D$151,A14)</f>
        <v>7</v>
      </c>
      <c r="E14" s="4">
        <f>COUNTIFS(Transactions!$D$2:$D$151,A14,Transactions!$M$2:$M$151,"CRITICAL")/B14</f>
        <v>0</v>
      </c>
      <c r="F14" s="5">
        <f>SUMIF(Transactions!$D$2:$D$151,A14,Transactions!$B$2:$B$151)</f>
        <v>90467.98</v>
      </c>
    </row>
    <row r="15" spans="1:6" x14ac:dyDescent="0.3">
      <c r="A15" s="3" t="s">
        <v>25</v>
      </c>
      <c r="B15" s="3">
        <f>COUNTIF(Transactions!$D$2:$D$151,A15)</f>
        <v>8</v>
      </c>
      <c r="C15" s="4">
        <f>AVERAGEIF(Transactions!$D$2:$D$151,A15,Transactions!$L$2:$L$151)</f>
        <v>1</v>
      </c>
      <c r="D15" s="4">
        <f>_xlfn.MAXIFS(Transactions!$L$2:$L$151,Transactions!$D$2:$D$151,A15)</f>
        <v>2</v>
      </c>
      <c r="E15" s="4">
        <f>COUNTIFS(Transactions!$D$2:$D$151,A15,Transactions!$M$2:$M$151,"CRITICAL")/B15</f>
        <v>0</v>
      </c>
      <c r="F15" s="5">
        <f>SUMIF(Transactions!$D$2:$D$151,A15,Transactions!$B$2:$B$151)</f>
        <v>63103.55</v>
      </c>
    </row>
    <row r="16" spans="1:6" x14ac:dyDescent="0.3">
      <c r="A16" s="3" t="s">
        <v>49</v>
      </c>
      <c r="B16" s="3">
        <f>COUNTIF(Transactions!$D$2:$D$151,A16)</f>
        <v>13</v>
      </c>
      <c r="C16" s="4">
        <f>AVERAGEIF(Transactions!$D$2:$D$151,A16,Transactions!$L$2:$L$151)</f>
        <v>1.2307692307692308</v>
      </c>
      <c r="D16" s="4">
        <f>_xlfn.MAXIFS(Transactions!$L$2:$L$151,Transactions!$D$2:$D$151,A16)</f>
        <v>2</v>
      </c>
      <c r="E16" s="4">
        <f>COUNTIFS(Transactions!$D$2:$D$151,A16,Transactions!$M$2:$M$151,"CRITICAL")/B16</f>
        <v>0</v>
      </c>
      <c r="F16" s="5">
        <f>SUMIF(Transactions!$D$2:$D$151,A16,Transactions!$B$2:$B$151)</f>
        <v>82788.139999999985</v>
      </c>
    </row>
    <row r="18" spans="1:4" ht="15.6" x14ac:dyDescent="0.3">
      <c r="A18" s="1" t="s">
        <v>218</v>
      </c>
    </row>
    <row r="20" spans="1:4" x14ac:dyDescent="0.3">
      <c r="A20" s="2" t="s">
        <v>219</v>
      </c>
      <c r="B20" s="2" t="s">
        <v>214</v>
      </c>
      <c r="C20" s="2" t="s">
        <v>215</v>
      </c>
      <c r="D20" s="2" t="s">
        <v>220</v>
      </c>
    </row>
    <row r="21" spans="1:4" x14ac:dyDescent="0.3">
      <c r="A21" s="3">
        <v>0</v>
      </c>
      <c r="B21" s="3">
        <f>COUNTIF(Transactions!$C$2:$C$151,0)</f>
        <v>14</v>
      </c>
      <c r="C21" s="4">
        <f>AVERAGEIF(Transactions!$C$2:$C$151,0,Transactions!$L$2:$L$151)</f>
        <v>2.4285714285714284</v>
      </c>
      <c r="D21" s="4">
        <f>COUNTIFS(Transactions!$C$2:$C$151,0,Transactions!$M$2:$M$151,"CRITICAL")</f>
        <v>0</v>
      </c>
    </row>
    <row r="22" spans="1:4" x14ac:dyDescent="0.3">
      <c r="A22" s="3">
        <v>1</v>
      </c>
      <c r="B22" s="3">
        <f>COUNTIF(Transactions!$C$2:$C$151,1)</f>
        <v>5</v>
      </c>
      <c r="C22" s="4">
        <f>AVERAGEIF(Transactions!$C$2:$C$151,1,Transactions!$L$2:$L$151)</f>
        <v>0.8</v>
      </c>
      <c r="D22" s="4">
        <f>COUNTIFS(Transactions!$C$2:$C$151,1,Transactions!$M$2:$M$151,"CRITICAL")</f>
        <v>0</v>
      </c>
    </row>
    <row r="23" spans="1:4" x14ac:dyDescent="0.3">
      <c r="A23" s="3">
        <v>2</v>
      </c>
      <c r="B23" s="3">
        <f>COUNTIF(Transactions!$C$2:$C$151,2)</f>
        <v>13</v>
      </c>
      <c r="C23" s="4">
        <f>AVERAGEIF(Transactions!$C$2:$C$151,2,Transactions!$L$2:$L$151)</f>
        <v>4.4615384615384617</v>
      </c>
      <c r="D23" s="4">
        <f>COUNTIFS(Transactions!$C$2:$C$151,2,Transactions!$M$2:$M$151,"CRITICAL")</f>
        <v>3</v>
      </c>
    </row>
    <row r="24" spans="1:4" x14ac:dyDescent="0.3">
      <c r="A24" s="3">
        <v>3</v>
      </c>
      <c r="B24" s="3">
        <f>COUNTIF(Transactions!$C$2:$C$151,3)</f>
        <v>6</v>
      </c>
      <c r="C24" s="4">
        <f>AVERAGEIF(Transactions!$C$2:$C$151,3,Transactions!$L$2:$L$151)</f>
        <v>5.333333333333333</v>
      </c>
      <c r="D24" s="4">
        <f>COUNTIFS(Transactions!$C$2:$C$151,3,Transactions!$M$2:$M$151,"CRITICAL")</f>
        <v>2</v>
      </c>
    </row>
    <row r="25" spans="1:4" x14ac:dyDescent="0.3">
      <c r="A25" s="3">
        <v>4</v>
      </c>
      <c r="B25" s="3">
        <f>COUNTIF(Transactions!$C$2:$C$151,4)</f>
        <v>5</v>
      </c>
      <c r="C25" s="4">
        <f>AVERAGEIF(Transactions!$C$2:$C$151,4,Transactions!$L$2:$L$151)</f>
        <v>2.4</v>
      </c>
      <c r="D25" s="4">
        <f>COUNTIFS(Transactions!$C$2:$C$151,4,Transactions!$M$2:$M$151,"CRITICAL")</f>
        <v>0</v>
      </c>
    </row>
    <row r="26" spans="1:4" x14ac:dyDescent="0.3">
      <c r="A26" s="3">
        <v>5</v>
      </c>
      <c r="B26" s="3">
        <f>COUNTIF(Transactions!$C$2:$C$151,5)</f>
        <v>8</v>
      </c>
      <c r="C26" s="4">
        <f>AVERAGEIF(Transactions!$C$2:$C$151,5,Transactions!$L$2:$L$151)</f>
        <v>5.5</v>
      </c>
      <c r="D26" s="4">
        <f>COUNTIFS(Transactions!$C$2:$C$151,5,Transactions!$M$2:$M$151,"CRITICAL")</f>
        <v>2</v>
      </c>
    </row>
    <row r="27" spans="1:4" x14ac:dyDescent="0.3">
      <c r="A27" s="3">
        <v>6</v>
      </c>
      <c r="B27" s="3">
        <f>COUNTIF(Transactions!$C$2:$C$151,6)</f>
        <v>4</v>
      </c>
      <c r="C27" s="4">
        <f>AVERAGEIF(Transactions!$C$2:$C$151,6,Transactions!$L$2:$L$151)</f>
        <v>3.5</v>
      </c>
      <c r="D27" s="4">
        <f>COUNTIFS(Transactions!$C$2:$C$151,6,Transactions!$M$2:$M$151,"CRITICAL")</f>
        <v>0</v>
      </c>
    </row>
    <row r="28" spans="1:4" x14ac:dyDescent="0.3">
      <c r="A28" s="3">
        <v>7</v>
      </c>
      <c r="B28" s="3">
        <f>COUNTIF(Transactions!$C$2:$C$151,7)</f>
        <v>6</v>
      </c>
      <c r="C28" s="4">
        <f>AVERAGEIF(Transactions!$C$2:$C$151,7,Transactions!$L$2:$L$151)</f>
        <v>2</v>
      </c>
      <c r="D28" s="4">
        <f>COUNTIFS(Transactions!$C$2:$C$151,7,Transactions!$M$2:$M$151,"CRITICAL")</f>
        <v>0</v>
      </c>
    </row>
    <row r="29" spans="1:4" x14ac:dyDescent="0.3">
      <c r="A29" s="3">
        <v>8</v>
      </c>
      <c r="B29" s="3">
        <f>COUNTIF(Transactions!$C$2:$C$151,8)</f>
        <v>6</v>
      </c>
      <c r="C29" s="4">
        <f>AVERAGEIF(Transactions!$C$2:$C$151,8,Transactions!$L$2:$L$151)</f>
        <v>3</v>
      </c>
      <c r="D29" s="4">
        <f>COUNTIFS(Transactions!$C$2:$C$151,8,Transactions!$M$2:$M$151,"CRITICAL")</f>
        <v>0</v>
      </c>
    </row>
    <row r="30" spans="1:4" x14ac:dyDescent="0.3">
      <c r="A30" s="3">
        <v>9</v>
      </c>
      <c r="B30" s="3">
        <f>COUNTIF(Transactions!$C$2:$C$151,9)</f>
        <v>1</v>
      </c>
      <c r="C30" s="4">
        <f>AVERAGEIF(Transactions!$C$2:$C$151,9,Transactions!$L$2:$L$151)</f>
        <v>0</v>
      </c>
      <c r="D30" s="4">
        <f>COUNTIFS(Transactions!$C$2:$C$151,9,Transactions!$M$2:$M$151,"CRITICAL")</f>
        <v>0</v>
      </c>
    </row>
    <row r="31" spans="1:4" x14ac:dyDescent="0.3">
      <c r="A31" s="3">
        <v>10</v>
      </c>
      <c r="B31" s="3">
        <f>COUNTIF(Transactions!$C$2:$C$151,10)</f>
        <v>4</v>
      </c>
      <c r="C31" s="4">
        <f>AVERAGEIF(Transactions!$C$2:$C$151,10,Transactions!$L$2:$L$151)</f>
        <v>2.5</v>
      </c>
      <c r="D31" s="4">
        <f>COUNTIFS(Transactions!$C$2:$C$151,10,Transactions!$M$2:$M$151,"CRITICAL")</f>
        <v>0</v>
      </c>
    </row>
    <row r="32" spans="1:4" x14ac:dyDescent="0.3">
      <c r="A32" s="3">
        <v>11</v>
      </c>
      <c r="B32" s="3">
        <f>COUNTIF(Transactions!$C$2:$C$151,11)</f>
        <v>4</v>
      </c>
      <c r="C32" s="4">
        <f>AVERAGEIF(Transactions!$C$2:$C$151,11,Transactions!$L$2:$L$151)</f>
        <v>1</v>
      </c>
      <c r="D32" s="4">
        <f>COUNTIFS(Transactions!$C$2:$C$151,11,Transactions!$M$2:$M$151,"CRITICAL")</f>
        <v>0</v>
      </c>
    </row>
    <row r="33" spans="1:4" x14ac:dyDescent="0.3">
      <c r="A33" s="3">
        <v>12</v>
      </c>
      <c r="B33" s="3">
        <f>COUNTIF(Transactions!$C$2:$C$151,12)</f>
        <v>1</v>
      </c>
      <c r="C33" s="4">
        <f>AVERAGEIF(Transactions!$C$2:$C$151,12,Transactions!$L$2:$L$151)</f>
        <v>2</v>
      </c>
      <c r="D33" s="4">
        <f>COUNTIFS(Transactions!$C$2:$C$151,12,Transactions!$M$2:$M$151,"CRITICAL")</f>
        <v>0</v>
      </c>
    </row>
    <row r="34" spans="1:4" x14ac:dyDescent="0.3">
      <c r="A34" s="3">
        <v>13</v>
      </c>
      <c r="B34" s="3">
        <f>COUNTIF(Transactions!$C$2:$C$151,13)</f>
        <v>5</v>
      </c>
      <c r="C34" s="4">
        <f>AVERAGEIF(Transactions!$C$2:$C$151,13,Transactions!$L$2:$L$151)</f>
        <v>3.2</v>
      </c>
      <c r="D34" s="4">
        <f>COUNTIFS(Transactions!$C$2:$C$151,13,Transactions!$M$2:$M$151,"CRITICAL")</f>
        <v>0</v>
      </c>
    </row>
    <row r="35" spans="1:4" x14ac:dyDescent="0.3">
      <c r="A35" s="3">
        <v>14</v>
      </c>
      <c r="B35" s="3">
        <f>COUNTIF(Transactions!$C$2:$C$151,14)</f>
        <v>1</v>
      </c>
      <c r="C35" s="4">
        <f>AVERAGEIF(Transactions!$C$2:$C$151,14,Transactions!$L$2:$L$151)</f>
        <v>2</v>
      </c>
      <c r="D35" s="4">
        <f>COUNTIFS(Transactions!$C$2:$C$151,14,Transactions!$M$2:$M$151,"CRITICAL")</f>
        <v>0</v>
      </c>
    </row>
    <row r="36" spans="1:4" x14ac:dyDescent="0.3">
      <c r="A36" s="3">
        <v>15</v>
      </c>
      <c r="B36" s="3">
        <f>COUNTIF(Transactions!$C$2:$C$151,15)</f>
        <v>13</v>
      </c>
      <c r="C36" s="4">
        <f>AVERAGEIF(Transactions!$C$2:$C$151,15,Transactions!$L$2:$L$151)</f>
        <v>2</v>
      </c>
      <c r="D36" s="4">
        <f>COUNTIFS(Transactions!$C$2:$C$151,15,Transactions!$M$2:$M$151,"CRITICAL")</f>
        <v>0</v>
      </c>
    </row>
    <row r="37" spans="1:4" x14ac:dyDescent="0.3">
      <c r="A37" s="3">
        <v>16</v>
      </c>
      <c r="B37" s="3">
        <f>COUNTIF(Transactions!$C$2:$C$151,16)</f>
        <v>7</v>
      </c>
      <c r="C37" s="4">
        <f>AVERAGEIF(Transactions!$C$2:$C$151,16,Transactions!$L$2:$L$151)</f>
        <v>2</v>
      </c>
      <c r="D37" s="4">
        <f>COUNTIFS(Transactions!$C$2:$C$151,16,Transactions!$M$2:$M$151,"CRITICAL")</f>
        <v>0</v>
      </c>
    </row>
    <row r="38" spans="1:4" x14ac:dyDescent="0.3">
      <c r="A38" s="3">
        <v>17</v>
      </c>
      <c r="B38" s="3">
        <f>COUNTIF(Transactions!$C$2:$C$151,17)</f>
        <v>5</v>
      </c>
      <c r="C38" s="4">
        <f>AVERAGEIF(Transactions!$C$2:$C$151,17,Transactions!$L$2:$L$151)</f>
        <v>3.4</v>
      </c>
      <c r="D38" s="4">
        <f>COUNTIFS(Transactions!$C$2:$C$151,17,Transactions!$M$2:$M$151,"CRITICAL")</f>
        <v>0</v>
      </c>
    </row>
    <row r="39" spans="1:4" x14ac:dyDescent="0.3">
      <c r="A39" s="3">
        <v>18</v>
      </c>
      <c r="B39" s="3">
        <f>COUNTIF(Transactions!$C$2:$C$151,18)</f>
        <v>7</v>
      </c>
      <c r="C39" s="4">
        <f>AVERAGEIF(Transactions!$C$2:$C$151,18,Transactions!$L$2:$L$151)</f>
        <v>3</v>
      </c>
      <c r="D39" s="4">
        <f>COUNTIFS(Transactions!$C$2:$C$151,18,Transactions!$M$2:$M$151,"CRITICAL")</f>
        <v>0</v>
      </c>
    </row>
    <row r="40" spans="1:4" x14ac:dyDescent="0.3">
      <c r="A40" s="3">
        <v>19</v>
      </c>
      <c r="B40" s="3">
        <f>COUNTIF(Transactions!$C$2:$C$151,19)</f>
        <v>10</v>
      </c>
      <c r="C40" s="4">
        <f>AVERAGEIF(Transactions!$C$2:$C$151,19,Transactions!$L$2:$L$151)</f>
        <v>3.5</v>
      </c>
      <c r="D40" s="4">
        <f>COUNTIFS(Transactions!$C$2:$C$151,19,Transactions!$M$2:$M$151,"CRITICAL")</f>
        <v>0</v>
      </c>
    </row>
    <row r="41" spans="1:4" x14ac:dyDescent="0.3">
      <c r="A41" s="3">
        <v>20</v>
      </c>
      <c r="B41" s="3">
        <f>COUNTIF(Transactions!$C$2:$C$151,20)</f>
        <v>6</v>
      </c>
      <c r="C41" s="4">
        <f>AVERAGEIF(Transactions!$C$2:$C$151,20,Transactions!$L$2:$L$151)</f>
        <v>2.1666666666666665</v>
      </c>
      <c r="D41" s="4">
        <f>COUNTIFS(Transactions!$C$2:$C$151,20,Transactions!$M$2:$M$151,"CRITICAL")</f>
        <v>0</v>
      </c>
    </row>
    <row r="42" spans="1:4" x14ac:dyDescent="0.3">
      <c r="A42" s="3">
        <v>21</v>
      </c>
      <c r="B42" s="3">
        <f>COUNTIF(Transactions!$C$2:$C$151,21)</f>
        <v>6</v>
      </c>
      <c r="C42" s="4">
        <f>AVERAGEIF(Transactions!$C$2:$C$151,21,Transactions!$L$2:$L$151)</f>
        <v>1.3333333333333333</v>
      </c>
      <c r="D42" s="4">
        <f>COUNTIFS(Transactions!$C$2:$C$151,21,Transactions!$M$2:$M$151,"CRITICAL")</f>
        <v>0</v>
      </c>
    </row>
    <row r="43" spans="1:4" x14ac:dyDescent="0.3">
      <c r="A43" s="3">
        <v>22</v>
      </c>
      <c r="B43" s="3">
        <f>COUNTIF(Transactions!$C$2:$C$151,22)</f>
        <v>6</v>
      </c>
      <c r="C43" s="4">
        <f>AVERAGEIF(Transactions!$C$2:$C$151,22,Transactions!$L$2:$L$151)</f>
        <v>3.3333333333333335</v>
      </c>
      <c r="D43" s="4">
        <f>COUNTIFS(Transactions!$C$2:$C$151,22,Transactions!$M$2:$M$151,"CRITICAL")</f>
        <v>0</v>
      </c>
    </row>
    <row r="44" spans="1:4" x14ac:dyDescent="0.3">
      <c r="A44" s="3">
        <v>23</v>
      </c>
      <c r="B44" s="3">
        <f>COUNTIF(Transactions!$C$2:$C$151,23)</f>
        <v>7</v>
      </c>
      <c r="C44" s="4">
        <f>AVERAGEIF(Transactions!$C$2:$C$151,23,Transactions!$L$2:$L$151)</f>
        <v>1.7142857142857142</v>
      </c>
      <c r="D44" s="4">
        <f>COUNTIFS(Transactions!$C$2:$C$151,23,Transactions!$M$2:$M$151,"CRITICAL")</f>
        <v>0</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workbookViewId="0">
      <selection sqref="A1:D1"/>
    </sheetView>
  </sheetViews>
  <sheetFormatPr defaultRowHeight="14.4" x14ac:dyDescent="0.3"/>
  <cols>
    <col min="1" max="1" width="8.44140625" customWidth="1"/>
    <col min="2" max="2" width="16.44140625" bestFit="1" customWidth="1"/>
    <col min="3" max="3" width="12.5546875" bestFit="1" customWidth="1"/>
    <col min="4" max="4" width="16.109375" bestFit="1" customWidth="1"/>
    <col min="5" max="5" width="16" bestFit="1" customWidth="1"/>
    <col min="6" max="6" width="16.88671875" bestFit="1" customWidth="1"/>
  </cols>
  <sheetData>
    <row r="1" spans="1:6" ht="15.6" x14ac:dyDescent="0.3">
      <c r="A1" s="40" t="s">
        <v>221</v>
      </c>
      <c r="B1" s="40"/>
      <c r="C1" s="40"/>
      <c r="D1" s="40"/>
    </row>
    <row r="3" spans="1:6" x14ac:dyDescent="0.3">
      <c r="A3" s="2" t="s">
        <v>222</v>
      </c>
      <c r="B3" s="2" t="s">
        <v>223</v>
      </c>
      <c r="C3" s="2" t="s">
        <v>217</v>
      </c>
      <c r="D3" s="2" t="s">
        <v>224</v>
      </c>
      <c r="E3" s="2" t="s">
        <v>225</v>
      </c>
      <c r="F3" s="2" t="s">
        <v>6</v>
      </c>
    </row>
    <row r="4" spans="1:6" x14ac:dyDescent="0.3">
      <c r="A4" s="3" t="s">
        <v>226</v>
      </c>
      <c r="B4" s="4">
        <f>COUNTIF(Transactions!$G$2:$G$151,"10/*")</f>
        <v>150</v>
      </c>
      <c r="C4" s="5">
        <f>SUMIF(Transactions!$B$2:$B$151,"&gt;0")</f>
        <v>1067949.4300000006</v>
      </c>
      <c r="D4" s="4">
        <f>COUNTIF(Transactions!$M$2:$M$151,"CRITICAL")</f>
        <v>7</v>
      </c>
      <c r="E4" s="5">
        <f>SUMIFS(Transactions!$B$2:$B$151,Transactions!$M$2:$M$151,"CRITICAL")+SUMIFS(Transactions!$B$2:$B$151,Transactions!$M$2:$M$151,"HIGH")</f>
        <v>145405.12</v>
      </c>
      <c r="F4" s="4">
        <f>AVERAGE(Transactions!$L$2:$L$151)</f>
        <v>2.8533333333333335</v>
      </c>
    </row>
  </sheetData>
  <mergeCells count="1">
    <mergeCell ref="A1:D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zoomScale="129" workbookViewId="0">
      <selection activeCell="G10" sqref="G10"/>
    </sheetView>
  </sheetViews>
  <sheetFormatPr defaultRowHeight="14.4" x14ac:dyDescent="0.3"/>
  <cols>
    <col min="1" max="1" width="16.109375" bestFit="1" customWidth="1"/>
    <col min="2" max="2" width="14.44140625" bestFit="1" customWidth="1"/>
    <col min="3" max="4" width="12.5546875" bestFit="1" customWidth="1"/>
    <col min="5" max="5" width="17.109375" bestFit="1" customWidth="1"/>
    <col min="6" max="6" width="12.6640625" bestFit="1" customWidth="1"/>
    <col min="7" max="7" width="14.44140625" bestFit="1" customWidth="1"/>
    <col min="8" max="8" width="7.5546875" bestFit="1" customWidth="1"/>
    <col min="9" max="9" width="12.5546875" bestFit="1" customWidth="1"/>
    <col min="10" max="10" width="16" bestFit="1" customWidth="1"/>
    <col min="11" max="11" width="21" bestFit="1" customWidth="1"/>
    <col min="12" max="12" width="14.44140625" bestFit="1" customWidth="1"/>
    <col min="13" max="105" width="9.109375" bestFit="1" customWidth="1"/>
    <col min="106" max="151" width="10.109375" bestFit="1" customWidth="1"/>
    <col min="152" max="152" width="10.77734375" bestFit="1" customWidth="1"/>
  </cols>
  <sheetData>
    <row r="1" spans="1:6" ht="21" x14ac:dyDescent="0.3">
      <c r="A1" s="41" t="s">
        <v>0</v>
      </c>
      <c r="B1" s="41"/>
      <c r="C1" s="42"/>
      <c r="D1" s="42"/>
      <c r="E1" s="42"/>
      <c r="F1" s="41"/>
    </row>
    <row r="2" spans="1:6" ht="15.6" x14ac:dyDescent="0.3">
      <c r="A2" s="3" t="s">
        <v>1</v>
      </c>
      <c r="B2" s="37">
        <f ca="1">TODAY()</f>
        <v>46009</v>
      </c>
      <c r="C2" s="43" t="s">
        <v>2</v>
      </c>
      <c r="D2" s="43"/>
      <c r="E2" s="43"/>
    </row>
    <row r="4" spans="1:6" s="17" customFormat="1" ht="28.8" x14ac:dyDescent="0.3">
      <c r="A4" s="29" t="s">
        <v>3</v>
      </c>
      <c r="C4" s="28" t="s">
        <v>252</v>
      </c>
      <c r="D4" s="29" t="s">
        <v>254</v>
      </c>
      <c r="E4" s="29" t="s">
        <v>256</v>
      </c>
      <c r="F4" s="29" t="s">
        <v>257</v>
      </c>
    </row>
    <row r="5" spans="1:6" x14ac:dyDescent="0.3">
      <c r="A5" s="3">
        <v>150</v>
      </c>
      <c r="C5" s="19" t="s">
        <v>53</v>
      </c>
      <c r="D5" s="30">
        <v>4</v>
      </c>
      <c r="E5" s="3">
        <v>3</v>
      </c>
      <c r="F5" s="5">
        <v>29855.530000000002</v>
      </c>
    </row>
    <row r="6" spans="1:6" s="16" customFormat="1" ht="28.8" x14ac:dyDescent="0.3">
      <c r="A6" s="33" t="s">
        <v>258</v>
      </c>
      <c r="C6" s="31" t="s">
        <v>46</v>
      </c>
      <c r="D6" s="32">
        <v>54</v>
      </c>
      <c r="E6" s="33">
        <v>8</v>
      </c>
      <c r="F6" s="21">
        <v>66649.430000000008</v>
      </c>
    </row>
    <row r="7" spans="1:6" x14ac:dyDescent="0.3">
      <c r="A7" s="30">
        <v>2.8533333333333335</v>
      </c>
      <c r="C7" s="19" t="s">
        <v>39</v>
      </c>
      <c r="D7" s="30">
        <v>20</v>
      </c>
      <c r="E7" s="3">
        <v>9</v>
      </c>
      <c r="F7" s="5">
        <v>71031.12</v>
      </c>
    </row>
    <row r="8" spans="1:6" s="16" customFormat="1" ht="19.2" customHeight="1" x14ac:dyDescent="0.3">
      <c r="A8" s="33" t="s">
        <v>217</v>
      </c>
      <c r="C8" s="31" t="s">
        <v>28</v>
      </c>
      <c r="D8" s="32">
        <v>28</v>
      </c>
      <c r="E8" s="33">
        <v>20</v>
      </c>
      <c r="F8" s="21">
        <v>150970.22000000003</v>
      </c>
    </row>
    <row r="9" spans="1:6" ht="22.8" customHeight="1" x14ac:dyDescent="0.3">
      <c r="A9" s="5">
        <v>1067949.4300000006</v>
      </c>
      <c r="C9" s="19" t="s">
        <v>129</v>
      </c>
      <c r="D9" s="30">
        <v>52</v>
      </c>
      <c r="E9" s="3">
        <v>12</v>
      </c>
      <c r="F9" s="5">
        <v>96215.75</v>
      </c>
    </row>
    <row r="10" spans="1:6" s="16" customFormat="1" ht="28.2" customHeight="1" x14ac:dyDescent="0.3">
      <c r="A10" s="33" t="s">
        <v>260</v>
      </c>
      <c r="C10" s="31" t="s">
        <v>85</v>
      </c>
      <c r="D10" s="32">
        <v>13</v>
      </c>
      <c r="E10" s="33">
        <v>13</v>
      </c>
      <c r="F10" s="21">
        <v>87050.59</v>
      </c>
    </row>
    <row r="11" spans="1:6" ht="22.8" customHeight="1" x14ac:dyDescent="0.3">
      <c r="A11" s="3">
        <v>60</v>
      </c>
      <c r="C11" s="19" t="s">
        <v>42</v>
      </c>
      <c r="D11" s="30">
        <v>23</v>
      </c>
      <c r="E11" s="3">
        <v>14</v>
      </c>
      <c r="F11" s="5">
        <v>80741.23</v>
      </c>
    </row>
    <row r="12" spans="1:6" x14ac:dyDescent="0.3">
      <c r="C12" s="19" t="s">
        <v>62</v>
      </c>
      <c r="D12" s="30">
        <v>53</v>
      </c>
      <c r="E12" s="3">
        <v>11</v>
      </c>
      <c r="F12" s="5">
        <v>58146.77</v>
      </c>
    </row>
    <row r="13" spans="1:6" ht="31.2" x14ac:dyDescent="0.35">
      <c r="A13" s="15" t="s">
        <v>3</v>
      </c>
      <c r="B13" s="23">
        <f>COUNTA(Transactions!$A$2:$A$151)</f>
        <v>150</v>
      </c>
      <c r="C13" s="19" t="s">
        <v>91</v>
      </c>
      <c r="D13" s="30">
        <v>30</v>
      </c>
      <c r="E13" s="3">
        <v>8</v>
      </c>
      <c r="F13" s="5">
        <v>60792.979999999996</v>
      </c>
    </row>
    <row r="14" spans="1:6" ht="34.200000000000003" customHeight="1" x14ac:dyDescent="0.35">
      <c r="A14" s="15" t="s">
        <v>4</v>
      </c>
      <c r="B14" s="24">
        <f>COUNTIF(Transactions!$M$2:$M$151,"CRITICAL")</f>
        <v>7</v>
      </c>
      <c r="C14" s="19" t="s">
        <v>36</v>
      </c>
      <c r="D14" s="30">
        <v>64</v>
      </c>
      <c r="E14" s="3">
        <v>9</v>
      </c>
      <c r="F14" s="5">
        <v>61700.159999999996</v>
      </c>
    </row>
    <row r="15" spans="1:6" ht="31.2" x14ac:dyDescent="0.35">
      <c r="A15" s="15" t="s">
        <v>5</v>
      </c>
      <c r="B15" s="25">
        <f>COUNTIF(Transactions!$M$2:$M$151,"HIGH")</f>
        <v>7</v>
      </c>
      <c r="C15" s="19" t="s">
        <v>74</v>
      </c>
      <c r="D15" s="30">
        <v>12</v>
      </c>
      <c r="E15" s="3">
        <v>10</v>
      </c>
      <c r="F15" s="5">
        <v>68435.98</v>
      </c>
    </row>
    <row r="16" spans="1:6" ht="31.2" x14ac:dyDescent="0.35">
      <c r="A16" s="15" t="s">
        <v>6</v>
      </c>
      <c r="B16" s="26">
        <f>AVERAGE(Transactions!$L$2:$L$151)</f>
        <v>2.8533333333333335</v>
      </c>
      <c r="C16" s="19" t="s">
        <v>31</v>
      </c>
      <c r="D16" s="30">
        <v>51</v>
      </c>
      <c r="E16" s="3">
        <v>12</v>
      </c>
      <c r="F16" s="5">
        <v>90467.98</v>
      </c>
    </row>
    <row r="17" spans="1:7" ht="46.8" x14ac:dyDescent="0.35">
      <c r="A17" s="15" t="s">
        <v>7</v>
      </c>
      <c r="B17" s="27">
        <f>SUMIF(Transactions!$M$2:$M$151,"CRITICAL",Transactions!$B$2:$B$151)+SUMIF(Transactions!$M$2:$M$151,"HIGH",Transactions!$B$2:$B$151)</f>
        <v>145405.12</v>
      </c>
      <c r="C17" s="19" t="s">
        <v>25</v>
      </c>
      <c r="D17" s="30">
        <v>8</v>
      </c>
      <c r="E17" s="3">
        <v>8</v>
      </c>
      <c r="F17" s="5">
        <v>63103.55</v>
      </c>
    </row>
    <row r="18" spans="1:7" x14ac:dyDescent="0.3">
      <c r="C18" s="19" t="s">
        <v>49</v>
      </c>
      <c r="D18" s="30">
        <v>16</v>
      </c>
      <c r="E18" s="3">
        <v>13</v>
      </c>
      <c r="F18" s="5">
        <v>82788.139999999985</v>
      </c>
    </row>
    <row r="19" spans="1:7" x14ac:dyDescent="0.3">
      <c r="C19" s="19" t="s">
        <v>253</v>
      </c>
      <c r="D19" s="30">
        <v>428</v>
      </c>
      <c r="E19" s="3">
        <v>150</v>
      </c>
      <c r="F19" s="5">
        <v>1067949.4300000004</v>
      </c>
    </row>
    <row r="20" spans="1:7" x14ac:dyDescent="0.3">
      <c r="A20" s="18" t="s">
        <v>252</v>
      </c>
      <c r="B20" s="3" t="s">
        <v>257</v>
      </c>
    </row>
    <row r="21" spans="1:7" x14ac:dyDescent="0.3">
      <c r="A21" s="20">
        <v>0</v>
      </c>
      <c r="B21" s="21">
        <v>246754.11000000002</v>
      </c>
    </row>
    <row r="22" spans="1:7" x14ac:dyDescent="0.3">
      <c r="A22" s="22">
        <v>1</v>
      </c>
      <c r="B22" s="5">
        <v>13644.34</v>
      </c>
      <c r="D22" s="18" t="s">
        <v>252</v>
      </c>
      <c r="E22" s="3" t="s">
        <v>255</v>
      </c>
    </row>
    <row r="23" spans="1:7" x14ac:dyDescent="0.3">
      <c r="A23" s="22">
        <v>2</v>
      </c>
      <c r="B23" s="5">
        <v>340138.5</v>
      </c>
      <c r="D23" s="19" t="s">
        <v>262</v>
      </c>
      <c r="E23" s="3">
        <v>7</v>
      </c>
    </row>
    <row r="24" spans="1:7" x14ac:dyDescent="0.3">
      <c r="A24" s="22">
        <v>3</v>
      </c>
      <c r="B24" s="5">
        <v>8988.6</v>
      </c>
      <c r="D24" s="19" t="s">
        <v>261</v>
      </c>
      <c r="E24" s="3">
        <v>7</v>
      </c>
    </row>
    <row r="25" spans="1:7" x14ac:dyDescent="0.3">
      <c r="A25" s="22">
        <v>4</v>
      </c>
      <c r="B25" s="5">
        <v>92635.15</v>
      </c>
      <c r="D25" s="19" t="s">
        <v>8</v>
      </c>
      <c r="E25" s="3">
        <v>99</v>
      </c>
    </row>
    <row r="26" spans="1:7" x14ac:dyDescent="0.3">
      <c r="A26" s="22">
        <v>5</v>
      </c>
      <c r="B26" s="5">
        <v>216925.97999999998</v>
      </c>
      <c r="D26" s="19" t="s">
        <v>9</v>
      </c>
      <c r="E26" s="3">
        <v>37</v>
      </c>
    </row>
    <row r="27" spans="1:7" x14ac:dyDescent="0.3">
      <c r="A27" s="22">
        <v>6</v>
      </c>
      <c r="B27" s="5">
        <v>3457.63</v>
      </c>
      <c r="D27" s="19" t="s">
        <v>253</v>
      </c>
      <c r="E27" s="3">
        <v>150</v>
      </c>
    </row>
    <row r="28" spans="1:7" x14ac:dyDescent="0.3">
      <c r="A28" s="22">
        <v>7</v>
      </c>
      <c r="B28" s="5">
        <v>77865.319999999992</v>
      </c>
    </row>
    <row r="29" spans="1:7" x14ac:dyDescent="0.3">
      <c r="A29" s="22">
        <v>12</v>
      </c>
      <c r="B29" s="5">
        <v>43838.89</v>
      </c>
      <c r="G29" s="6"/>
    </row>
    <row r="30" spans="1:7" x14ac:dyDescent="0.3">
      <c r="A30" s="22">
        <v>14</v>
      </c>
      <c r="B30" s="5">
        <v>23700.91</v>
      </c>
      <c r="G30" s="7"/>
    </row>
    <row r="31" spans="1:7" x14ac:dyDescent="0.3">
      <c r="A31" s="22" t="s">
        <v>253</v>
      </c>
      <c r="B31" s="5">
        <v>1067949.43</v>
      </c>
      <c r="G31" s="7"/>
    </row>
    <row r="32" spans="1:7" x14ac:dyDescent="0.3">
      <c r="G32" s="7"/>
    </row>
    <row r="33" spans="7:7" x14ac:dyDescent="0.3">
      <c r="G33" s="7"/>
    </row>
    <row r="34" spans="7:7" x14ac:dyDescent="0.3">
      <c r="G34" s="7"/>
    </row>
    <row r="35" spans="7:7" x14ac:dyDescent="0.3">
      <c r="G35" s="7"/>
    </row>
    <row r="36" spans="7:7" x14ac:dyDescent="0.3">
      <c r="G36" s="7"/>
    </row>
    <row r="37" spans="7:7" x14ac:dyDescent="0.3">
      <c r="G37" s="7"/>
    </row>
  </sheetData>
  <mergeCells count="2">
    <mergeCell ref="A1:F1"/>
    <mergeCell ref="C2:E2"/>
  </mergeCells>
  <pageMargins left="0.75" right="0.75" top="1" bottom="1" header="0.5" footer="0.5"/>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44"/>
  <sheetViews>
    <sheetView topLeftCell="A11" workbookViewId="0">
      <selection activeCell="A34" sqref="A34"/>
    </sheetView>
  </sheetViews>
  <sheetFormatPr defaultRowHeight="14.4" x14ac:dyDescent="0.3"/>
  <cols>
    <col min="1" max="1" width="90" customWidth="1"/>
  </cols>
  <sheetData>
    <row r="1" spans="1:1" ht="19.95" customHeight="1" x14ac:dyDescent="0.3">
      <c r="A1" s="8" t="s">
        <v>227</v>
      </c>
    </row>
    <row r="2" spans="1:1" ht="15" customHeight="1" x14ac:dyDescent="0.3">
      <c r="A2" s="9"/>
    </row>
    <row r="3" spans="1:1" ht="19.95" customHeight="1" x14ac:dyDescent="0.3">
      <c r="A3" s="10" t="s">
        <v>228</v>
      </c>
    </row>
    <row r="4" spans="1:1" ht="15" customHeight="1" x14ac:dyDescent="0.3">
      <c r="A4" s="9" t="s">
        <v>229</v>
      </c>
    </row>
    <row r="5" spans="1:1" ht="15" customHeight="1" x14ac:dyDescent="0.3">
      <c r="A5" s="9" t="s">
        <v>230</v>
      </c>
    </row>
    <row r="6" spans="1:1" ht="15" customHeight="1" x14ac:dyDescent="0.3">
      <c r="A6" s="9" t="s">
        <v>231</v>
      </c>
    </row>
    <row r="7" spans="1:1" ht="15" customHeight="1" x14ac:dyDescent="0.3">
      <c r="A7" s="9"/>
    </row>
    <row r="8" spans="1:1" ht="19.95" customHeight="1" x14ac:dyDescent="0.3">
      <c r="A8" s="10" t="s">
        <v>232</v>
      </c>
    </row>
    <row r="9" spans="1:1" ht="15" customHeight="1" x14ac:dyDescent="0.3">
      <c r="A9" s="9" t="s">
        <v>233</v>
      </c>
    </row>
    <row r="10" spans="1:1" ht="15" customHeight="1" x14ac:dyDescent="0.3">
      <c r="A10" s="9" t="s">
        <v>234</v>
      </c>
    </row>
    <row r="11" spans="1:1" ht="15" customHeight="1" x14ac:dyDescent="0.3">
      <c r="A11" s="9" t="s">
        <v>235</v>
      </c>
    </row>
    <row r="12" spans="1:1" ht="15" customHeight="1" x14ac:dyDescent="0.3">
      <c r="A12" s="9" t="s">
        <v>236</v>
      </c>
    </row>
    <row r="13" spans="1:1" ht="15" customHeight="1" x14ac:dyDescent="0.3">
      <c r="A13" s="9" t="s">
        <v>237</v>
      </c>
    </row>
    <row r="14" spans="1:1" ht="15" customHeight="1" x14ac:dyDescent="0.3">
      <c r="A14" s="9" t="s">
        <v>238</v>
      </c>
    </row>
    <row r="15" spans="1:1" ht="15" customHeight="1" x14ac:dyDescent="0.3">
      <c r="A15" s="9" t="s">
        <v>239</v>
      </c>
    </row>
    <row r="16" spans="1:1" ht="19.95" customHeight="1" x14ac:dyDescent="0.3">
      <c r="A16" s="9"/>
    </row>
    <row r="17" spans="1:1" ht="15" customHeight="1" x14ac:dyDescent="0.3">
      <c r="A17" s="10" t="s">
        <v>240</v>
      </c>
    </row>
    <row r="18" spans="1:1" ht="15" customHeight="1" x14ac:dyDescent="0.3">
      <c r="A18" s="9" t="s">
        <v>241</v>
      </c>
    </row>
    <row r="19" spans="1:1" ht="15" customHeight="1" x14ac:dyDescent="0.3">
      <c r="A19" s="9" t="s">
        <v>242</v>
      </c>
    </row>
    <row r="20" spans="1:1" ht="15" customHeight="1" x14ac:dyDescent="0.3">
      <c r="A20" s="9" t="s">
        <v>243</v>
      </c>
    </row>
    <row r="21" spans="1:1" ht="15" customHeight="1" x14ac:dyDescent="0.3">
      <c r="A21" s="9" t="s">
        <v>244</v>
      </c>
    </row>
    <row r="22" spans="1:1" ht="15" customHeight="1" x14ac:dyDescent="0.3">
      <c r="A22" s="9"/>
    </row>
    <row r="23" spans="1:1" ht="15" customHeight="1" x14ac:dyDescent="0.3">
      <c r="A23" s="10" t="s">
        <v>245</v>
      </c>
    </row>
    <row r="24" spans="1:1" ht="15" customHeight="1" x14ac:dyDescent="0.3">
      <c r="A24" s="9" t="s">
        <v>246</v>
      </c>
    </row>
    <row r="25" spans="1:1" ht="19.95" customHeight="1" x14ac:dyDescent="0.3">
      <c r="A25" s="9" t="s">
        <v>247</v>
      </c>
    </row>
    <row r="26" spans="1:1" ht="15" customHeight="1" x14ac:dyDescent="0.3">
      <c r="A26" s="9" t="s">
        <v>248</v>
      </c>
    </row>
    <row r="27" spans="1:1" ht="15" customHeight="1" x14ac:dyDescent="0.3">
      <c r="A27" s="9" t="s">
        <v>249</v>
      </c>
    </row>
    <row r="28" spans="1:1" ht="15" customHeight="1" x14ac:dyDescent="0.3">
      <c r="A28" s="9" t="s">
        <v>250</v>
      </c>
    </row>
    <row r="29" spans="1:1" ht="15" customHeight="1" x14ac:dyDescent="0.3">
      <c r="A29" s="9" t="s">
        <v>251</v>
      </c>
    </row>
    <row r="30" spans="1:1" ht="15" customHeight="1" x14ac:dyDescent="0.3"/>
    <row r="31" spans="1:1" ht="72" x14ac:dyDescent="0.3">
      <c r="A31" s="16" t="s">
        <v>263</v>
      </c>
    </row>
    <row r="32" spans="1:1" ht="15" customHeight="1" x14ac:dyDescent="0.3"/>
    <row r="33" spans="1:1" ht="15" customHeight="1" x14ac:dyDescent="0.3"/>
    <row r="34" spans="1:1" ht="15" customHeight="1" x14ac:dyDescent="0.3">
      <c r="A34" t="s">
        <v>264</v>
      </c>
    </row>
    <row r="35" spans="1:1" ht="15" customHeight="1" x14ac:dyDescent="0.3"/>
    <row r="36" spans="1:1" ht="15" customHeight="1" x14ac:dyDescent="0.3"/>
    <row r="37" spans="1:1" ht="15" customHeight="1" x14ac:dyDescent="0.3"/>
    <row r="38" spans="1:1" ht="19.95" customHeight="1" x14ac:dyDescent="0.3"/>
    <row r="39" spans="1:1" ht="15" customHeight="1" x14ac:dyDescent="0.3"/>
    <row r="40" spans="1:1" ht="15" customHeight="1" x14ac:dyDescent="0.3"/>
    <row r="41" spans="1:1" ht="15" customHeight="1" x14ac:dyDescent="0.3"/>
    <row r="42" spans="1:1" ht="15" customHeight="1" x14ac:dyDescent="0.3"/>
    <row r="43" spans="1:1" ht="15" customHeight="1" x14ac:dyDescent="0.3"/>
    <row r="44" spans="1:1" ht="15" customHeight="1" x14ac:dyDescent="0.3"/>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Transactions</vt:lpstr>
      <vt:lpstr>Analysis - Location &amp; Time</vt:lpstr>
      <vt:lpstr>Monthly Summary</vt:lpstr>
      <vt:lpstr>Chartdata</vt:lpstr>
      <vt:lpstr>Instructions</vt:lpstr>
      <vt:lpstr>Transactions!Print_Area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Aloshiya Mishra</cp:lastModifiedBy>
  <cp:lastPrinted>2025-10-27T08:14:53Z</cp:lastPrinted>
  <dcterms:created xsi:type="dcterms:W3CDTF">2025-10-25T08:50:02Z</dcterms:created>
  <dcterms:modified xsi:type="dcterms:W3CDTF">2025-12-18T11:20:18Z</dcterms:modified>
</cp:coreProperties>
</file>